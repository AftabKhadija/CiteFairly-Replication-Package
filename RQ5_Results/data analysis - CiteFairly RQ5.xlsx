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C:\Users\16475\Desktop\"/>
    </mc:Choice>
  </mc:AlternateContent>
  <xr:revisionPtr revIDLastSave="0" documentId="8_{6CB5556B-BC8E-4AB9-9B63-10F9D256007B}" xr6:coauthVersionLast="47" xr6:coauthVersionMax="47" xr10:uidLastSave="{00000000-0000-0000-0000-000000000000}"/>
  <bookViews>
    <workbookView xWindow="-110" yWindow="-110" windowWidth="19420" windowHeight="10300" tabRatio="864" firstSheet="4" activeTab="5" xr2:uid="{7DB83D09-65EA-451D-A574-2A755967D689}"/>
  </bookViews>
  <sheets>
    <sheet name="ESEM - 11" sheetId="4" r:id="rId1"/>
    <sheet name="EASE - 18" sheetId="2" r:id="rId2"/>
    <sheet name="SANER - 26" sheetId="3" r:id="rId3"/>
    <sheet name="Detailed analysis RQ5" sheetId="9" r:id="rId4"/>
    <sheet name="Data insights" sheetId="10" r:id="rId5"/>
    <sheet name="CONFUSION MATRIX" sheetId="11"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1" l="1"/>
  <c r="E19" i="11"/>
  <c r="D19" i="11"/>
  <c r="C19" i="11"/>
  <c r="B19" i="11"/>
  <c r="K15" i="10"/>
  <c r="K14" i="10"/>
  <c r="K13" i="10"/>
  <c r="M29" i="9"/>
  <c r="L29" i="9"/>
  <c r="B8" i="10"/>
  <c r="B6" i="10"/>
  <c r="U29" i="9"/>
  <c r="T29" i="9"/>
  <c r="E29" i="9"/>
  <c r="D29" i="9"/>
  <c r="B10" i="10" l="1"/>
  <c r="L31" i="9"/>
  <c r="T31" i="9"/>
  <c r="D31" i="9"/>
</calcChain>
</file>

<file path=xl/sharedStrings.xml><?xml version="1.0" encoding="utf-8"?>
<sst xmlns="http://schemas.openxmlformats.org/spreadsheetml/2006/main" count="860" uniqueCount="616">
  <si>
    <t># of ref.</t>
  </si>
  <si>
    <t>Reference (n = 11)</t>
  </si>
  <si>
    <t xml:space="preserve">CiteFairly
</t>
  </si>
  <si>
    <t>Manual Comparisons (generate the % by hand)</t>
  </si>
  <si>
    <t>Differences</t>
  </si>
  <si>
    <t>Manual Comparisons DATA</t>
  </si>
  <si>
    <t>nationalize.io</t>
  </si>
  <si>
    <t>continent based</t>
  </si>
  <si>
    <t>Asian authors</t>
  </si>
  <si>
    <t>non-Asian</t>
  </si>
  <si>
    <t>Asian authors that were incorrectly classified</t>
  </si>
  <si>
    <t># of Asian authors that were incorrectly classified</t>
  </si>
  <si>
    <t>Reference_List1_ESEM2020_AndrewJSimmons</t>
  </si>
  <si>
    <t>88.04% male authors, 
10.87% female authors,  
1.09% authors of unknown gender.</t>
  </si>
  <si>
    <t>Men: 83: 90.22%
Female: 9: 9.78%</t>
  </si>
  <si>
    <t>Jiaxin Zhu - F is M 
D. Sculley: X is M</t>
  </si>
  <si>
    <t>Thomas J. McCabe: M
Georgios Gousios: M
Michael Smit: M
Barry Gergel: M
H. James Hoover: M
Eleni Stroulia: F
Daryl Posnett: M
Abram Hindle: M
Prémkumar Dévanbu: M
Jiaxin Zhu: M
Minghui Zhou: M
Audris Mockus: F
Avraham Leff: M
James T. Rayfield: M
Miltiadis Allamanis: M
Earl T. Barr: M
Christian Bird: M
Charles Sutton: M
Martin Fowler: M
D. Sculley: M
Gary D. Holt: M
Daniel Golovin: M
Eugene Davydov: M
Todd Phillips: M
Dietmar Ebner: M
Vinay Chaudhary: M
Michael Young: M
Jean-François Crespo: M
Dan Dennison: M
Diomidis Spinellis: M
Johannes C. Hofmeister: M
Janet Siegmund: F
Daniel V. Holt: M
Miryung Kim: F
Thomas Zimmermann: M
Robert DeLine: M
Andrew Begel: M
Martin Fowler: M
Scott Barnett: M
Brian A. Malloy: M
James F. Power: M
Houssem Ben Braiek: M
Foutse Khomh: M
Bram Adams: M
Rodrigo Magalhães dos Santos: M
Marco Aurélio Gerosa: M
Carol V. Alexandru: F
José J. Merchante: M
Sebastiano Panichella: M
Sebastian Proksch: M
Harald Gall: M
Gregório Robles: M
Weiqin Zou: F
Jifeng Xuan: M
Xiaoyuan Xie: F
Zhenyu Chen: M
Baowen Xu: M
Sumon Biswas: M
Md Johirul Islam: M
Yijia Huang: F
Hridesh Rajan: M
Nikolaos Bafatakis: M
Niels Boecker: M
Wenjie Boon: M
Martin Cabello Salazar: M
Jens Krinke: M
Gazi Oznacar: M
Robert White: M
Adithya Raghuraman: M
Truong Ho-Quang: M
Michel R. V. Chaudron: M
Alexander Serebrenik: M
Bogdan Vasilescu: M
Vadim Markovtsev: M
Waren Long: M
Hugo Mougard: M
Konstantin Slavnov: M
Egor Bulychev: M
Safwan Omari: M
Gina Martinez: F
Aggelos Papamichail: M
Apostolos Zarras: M
Panos Vassiliadis: M
Oskar Jarczyk: M
Błażej Gruszka: M
Szymon Jaroszewicz: M
Leszek Bukowski: M
Adam Wierzbicki: M
Joel Spolsky: M
Taek Lee: M
Jung-Been LEE: M
Hoh Peter In: M</t>
  </si>
  <si>
    <t>Thomas	J. McCabe	US
Georgios	Gousios	GR
Michael	Smit	NG
Barry	Gergel	GN
H.	James Hoover	IR
Eleni	Stroulia	GR
Daryl	Posnett	LC
Abram	Hindle	US
PrÃ©mkumar	DÃ©vanbu	IN
Jiaxin	Zhu	CN
Minghui	Zhou	CN
Audris	Mockus	LV
Avraham	Leff	IL
James	T. Rayfield	US
Miltiadis	Allamanis	GR
Earl	T. Barr	US
Christian	Bird	US
Charles	Sutton	TT
Martin	Fowler	US
D.	Sculley	FR
Gary	D. Holt	CN
Daniel	Golovin	RO
Eugene	Davydov	CM
Todd	Phillips	US
Dietmar	Ebner	AT
Vinay	Chaudhary	IN
Michael	Young	NG
Jean-FranÃ§ois	Crespo	FR
Dan	Dennison	RO
Diomidis	Spinellis	GR
Johannes	C. Hofmeister	NA
Janet	Siegmund	GH
Daniel	V. Holt	RO
Miryung	Kim	KR
Thomas	Zimmermann	US
Robert	DeLine	RO
Andrew	Begel	UG
Martin	Fowler	US
Scott	Barnett	US
Brian	A. Malloy	UG
James	F. Power	US
Houssem	Ben Braiek	TN
Foutse	Khomh	CM
Bram	Adams	ID
Rodrigo	MagalhÃ£es dos Santos	LK
Marco AurÃ©lio	Gerosa	BR
Carol V.	Alexandru	NL
JosÃ© J.	Merchante	MX
Sebastiano	Panichella	IT
Sebastian	Proksch	RO
Harald	Gall	AT
GregÃ³rio	Robles	PT
Weiqin	Zou	CN
Jifeng	Xuan	CN
Xiaoyuan	Xie	CN
Zhenyu	Chen	CN
Baowen	Xu	CN
Sumon	Biswas	BD
Md Johirul	Islam	OM
Yijia	Huang	CN
Hridesh	Rajan	IN
Nikolaos	Bafatakis	GR
Niels	Boecker	DK
Wenjie	Boon	CN
Martin	Cabello Salazar	US
Jens	Krinke	DE
Gazi	Oznacar	BD
Robert	White	RO
Adithya	Raghuraman	LK
Truong	Ho-Quang	VN
Michel R. V.	Chaudron	NL
Alexander	Serebrenik	US
Bogdan	Vasilescu	RO
Vadim	Markovtsev	MD
Waren	Long	CM
Hugo	Mougard	ZA
Konstantin	Slavnov	UA
Egor	Bulychev	RU
Safwan	Omari	MY
Gina	Martinez	RO
Aggelos	Papamichail	GR
Apostolos	Zarras	GR
Panos	Vassiliadis	GR
Oskar	Jarczyk	IL
BÅ‚aÅ¼ej	Gruszka	PL
Szymon	Jaroszewicz	PL
Leszek	Bukowski	PL
Adam	Wierzbicki	SD
Joel	Spolsky	NG
Taek	Lee	KR
Jung-Been	LEE	unknown
Hoh Peter	In	MY</t>
  </si>
  <si>
    <t>Thomas J. McCabe (US) – North America
Georgios Gousios (GR) – Europe
Michael Smit (NG) – Africa
Barry Gergel (GN) – Africa
H. James Hoover (IR) – Asia
Eleni Stroulia (GR) – Europe
Daryl Posnett (LC) – North America
Abram Hindle (US) – North America
Prémkumar Dévanbu (IN) – Asia
Jiaxin Zhu (CN) – Asia
Minghui Zhou (CN) – Asia
Audris Mockus (LV) – Europe
Avraham Leff (IL) – Asia
James T. Rayfield (US) – North America
Miltiadis Allamanis (GR) – Europe
Earl T. Barr (US) – North America
Christian Bird (US) – North America
Charles Sutton (TT) – North America
Martin Fowler (US) – North America
D. Sculley (FR) – Europe
Gary D. Holt (CN) – Asia
Daniel Golovin (RO) – Europe
Eugene Davydov (CM) – Africa
Todd Phillips (US) – North America
Dietmar Ebner (AT) – Europe
Vinay Chaudhary (IN) – Asia
Michael Young (NG) – Africa
Jean-François Crespo (FR) – Europe
Dan Dennison (RO) – Europe
Diomidis Spinellis (GR) – Europe
Johannes C. Hofmeister (NA – Namibia) – Africa
Janet Siegmund (GH) – Africa
Daniel V. Holt (RO) – Europe
Miryung Kim (KR) – Asia
Thomas Zimmermann (US) – North America
Robert DeLine (RO) – Europe
Andrew Begel (UG) – Africa
Martin Fowler (US) – North America
Scott Barnett (US) – North America
Brian A. Malloy (UG) – Africa
James F. Power (US) – North America
Houssem Ben Braiek (TN) – Africa
Foutse Khomh (CM) – Africa
Bram Adams (ID) – Asia
Rodrigo Magalhães dos Santos (LK) – Asia
Marco Aurélio Gerosa (BR) – South America
Carol V. Alexandru (NL) – Europe
José J. Merchante (MX) – North America
Sebastiano Panichella (IT) – Europe
Sebastian Proksch (RO) – Europe
Harald Gall (AT) – Europe
Gregório Robles (PT) – Europe
Weiqin Zou (CN) – Asia
Jifeng Xuan (CN) – Asia
Xiaoyuan Xie (CN) – Asia
Zhenyu Chen (CN) – Asia
Baowen Xu (CN) – Asia
Sumon Biswas (BD) – Asia
Md Johirul Islam (OM) – Asia
Yijia Huang (CN) – Asia
Hridesh Rajan (IN) – Asia
Nikolaos Bafatakis (GR) – Europe
Niels Boecker (DK) – Europe
Wenjie Boon (CN) – Asia
Martin Cabello Salazar (US) – North America
Jens Krinke (DE) – Europe
Gazi Oznacar (BD) – Asia
Robert White (RO) – Europe
Adithya Raghuraman (LK) – Asia
Truong Ho-Quang (VN) – Asia
Michel R. V. Chaudron (NL) – Europe
Alexander Serebrenik (US) – North America
Bogdan Vasilescu (RO) – Europe
Vadim Markovtsev (MD) – Europe
Waren Long (CM) – Africa
Hugo Mougard (ZA) – Africa
Konstantin Slavnov (UA) – Europe
Egor Bulychev (RU) – Europe (transcontinental, commonly grouped with Europe)
Safwan Omari (MY) – Asia
Gina Martinez (RO) – Europe
Aggelos Papamichail (GR) – Europe
Apostolos Zarras (GR) – Europe
Panos Vassiliadis (GR) – Europe
Oskar Jarczyk (IL) – Asia
Błażej Gruszka (PL) – Europe
Szymon Jaroszewicz (PL) – Europe
Leszek Bukowski (PL) – Europe
Adam Wierzbicki (SD) – Africa
Joel Spolsky (NG) – Africa
Taek Lee (KR) – Asia
Jung-Been Lee (unknown) – Unknown
Hoh Peter In (MY) – Asia</t>
  </si>
  <si>
    <t>H. James Hoover (IR)
Prémkumar Dévanbu (IN)
Jiaxin Zhu (CN)
Minghui Zhou (CN)
Avraham Leff (IL)
Gary D. Holt (CN)
Vinay Chaudhary (IN)
Miryung Kim (KR)
Bram Adams (ID)
Rodrigo Magalhães dos Santos (LK)
Weiqin Zou (CN)
Jifeng Xuan (CN)
Xiaoyuan Xie (CN)
Zhenyu Chen (CN)
Baowen Xu (CN)
Sumon Biswas (BD)
Md Johirul Islam (OM)
Yijia Huang (CN)
Hridesh Rajan (IN)
Wenjie Boon (CN)
Gazi Oznacar (BD)
Adithya Raghuraman (LK)
Truong Ho-Quang (VN)
Safwan Omari (MY)
Oskar Jarczyk (IL)
Taek Lee (KR)
Hoh Peter In (MY)</t>
  </si>
  <si>
    <t>Thomas J. McCabe (US)
Georgios Gousios (GR)
Michael Smit (NG)
Barry Gergel (GN)
Eleni Stroulia (GR)
Daryl Posnett (LC)
Abram Hindle (US)
Audris Mockus (LV)
James T. Rayfield (US)
Miltiadis Allamanis (GR)
Earl T. Barr (US)
Christian Bird (US)
Charles Sutton (TT)
Martin Fowler (US)
D. Sculley (FR)
Daniel Golovin (RO)
Eugene Davydov (CM)
Todd Phillips (US)
Dietmar Ebner (AT)
Michael Young (NG)
Jean-François Crespo (FR)
Dan Dennison (RO)
Diomidis Spinellis (GR)
Johannes C. Hofmeister (NA)
Janet Siegmund (GH)
Daniel V. Holt (RO)
Thomas Zimmermann (US)
Robert DeLine (RO)
Andrew Begel (UG)
Martin Fowler (US)
Scott Barnett (US)
Brian A. Malloy (UG)
James F. Power (US)
Houssem Ben Braiek (TN)
Foutse Khomh (CM)
Marco Aurélio Gerosa (BR)
Carol V. Alexandru (NL)
José J. Merchante (MX)
Sebastiano Panichella (IT)
Sebastian Proksch (RO)
Harald Gall (AT)
Gregório Robles (PT)
Nikolaos Bafatakis (GR)
Niels Boecker (DK)
Martin Cabello Salazar (US)
Jens Krinke (DE)
Robert White (RO)
Michel R. V. Chaudron (NL)
Alexander Serebrenik (US)
Bogdan Vasilescu (RO)
Vadim Markovtsev (MD)
Waren Long (CM)
Hugo Mougard (ZA)
Konstantin Slavnov (UA)
Egor Bulychev (RU)
Gina Martinez (RO)
Aggelos Papamichail (GR)
Apostolos Zarras (GR)
Panos Vassiliadis (GR)
Błażej Gruszka (PL)
Szymon Jaroszewicz (PL)
Leszek Bukowski (PL)
Adam Wierzbicki (SD)
Joel Spolsky (NG)
Jung-Been Lee (unknown)</t>
  </si>
  <si>
    <t>Jiaxin Zhu</t>
  </si>
  <si>
    <t>1 from 2</t>
  </si>
  <si>
    <t xml:space="preserve">Reference_List1_ESEM2021_MassimilianoDiPenta
</t>
  </si>
  <si>
    <t>80.43% male authors, 
18.48% female authors, 
1.09% authors of unknown gender</t>
  </si>
  <si>
    <t>Men: 75 → 81.5%
Female: 17 → 18.5%</t>
  </si>
  <si>
    <t xml:space="preserve">Yann‐Gaël Guéhéneuc 
X is M
</t>
  </si>
  <si>
    <t>Natália Juristo – F
Ana M. Moreno – F
Andrea Arcuri – F
Lionel Briand – M
Luca Ponzanelli – M
Gabriele Bavota – M
Massimiliano Di Penta – M
Rocco Oliveto – M
Michele Lanza – M
Kim Herzig – F
Sascha Just – M
Andreas Zeller – M
Pearl Brereton – F
Barbara Kitchenham – F
David Budgen – M
Mark Turner – M
Mohamed Bakr Khalil – M
Aaron Clauset – M
Cristopher Moore – M
M. E. J. Newman – M
Andrea Arcuri – F
Lionel Briand – M
Eirini Kalliamvakou – F
Georgios Gousios – M
Kelly Blincoe – F
Leif Singer – M
Daniel M. Germán – M
Daniela Damian – F
Giuliano Antoniol – M
Kamel Ayari – M
Massimiliano Di Penta – M
Foutse Khomh – M
Yann‐Gaël Guéhéneuc – M
Christian Bird – M
Adrian Bachmann – M
Eirik Aune – M
John C. Duffy – M
Abraham Bernstein – M
Vladimir Filkov – M
Prémkumar Dévanbu – M
Martin P. Robillard – M
Robert J. Walker – M
Thomas Zimmermann – M
Miryung Kim – F
Thomas Zimmermann – M
Robert DeLine – M
Andrew Begel – M
Laura Moreno – F
Gabriele Bavota – M
Massimiliano Di Penta – M
Rocco Oliveto – M
Andrian Marcus – M
Gerardo Canfora – M
Massimiliano Di Penta – M
R. K. Heaton – M
CJ Chelune – M
JL Talley – M
GG Kay – M
Glenn Curtiss – M
Moritz Beller – M
Georgios Gousios – M
Andy Zaidman – M
Michael Hilton – M
Nicholas Nelson – M
Timothy Tunnell – M
Darko Marinov – M
Danny Dig – M
Bin Lin – M
Fiorella Zampetti – F
Gabriele Bavota – M
Massimiliano Di Penta – M
Michele Lanza – M
Rocco Oliveto – M
Bin Lin – M
Fiorella Zampetti – F
Gabriele Bavota – M
Massimiliano Di Penta – M
Michele Lanza – M
Sebastian Baltes – M
Christoph Treude – M
Stephan Diehl – M
Fiorella Zampetti – F
Carmine Vassallo – M
Sebastiano Panichella – M
Gerardo Canfora – M
Harald Gall – M
Massimiliano Di Penta – M
Jana Hönke – F
Moses Openja – M
Bram Adams – M
Foutse Khomh – M
Rashina Hoda – F</t>
  </si>
  <si>
    <t>NatÃ¡lia Juristo	ES
Ana M. Moreno	US
Andrea Arcuri	IT
Lionel Briand	FR
Luca Ponzanelli	IT
Gabriele Bavota	IT
Massimiliano Di Penta	IT
Rocco Oliveto	AR
Michele Lanza	HN
Kim Herzig	CH
Sascha Just	DK
Andreas Zeller	CH
Pearl Brereton	IE
Barbara Kitchenham	GB
David Budgen	GB
Mark Turner	CA
Mohamed Bakr Khalil	EG
Aaron Clauset	US
Cristopher Moore	US
M. E. J. Newman	US
Andrea Arcuri	IT
Lionel Briand	FR
Eirini Kalliamvakou	GR
Georgios Gousios	GR
Kelly Blincoe	NZ
Leif Singer	US
Daniel M. GermÃ¡n	DO
Daniela Damian	RO
Giuliano Antoniol	AT
Kamel Ayari	TN
Massimiliano Di Penta	IT
Foutse Khomh	CA
Yannâ€GaÃ«l GuÃ©hÃ©neuc	unknown
Christian Bird	US
Adrian Bachmann	CH
Eirik Aune	NO
John C. Duffy	IE
Abraham Bernstein	US
Vladimir Filkov	BG
PrÃ©mkumar DÃ©vanbu	unknown
Martin P. Robillard	CA
Robert J. Walker	US
Thomas Zimmermann	DE
Miryung Kim	KR
Thomas Zimmermann	DE
Robert DeLine	CA
Andrew Begel	FR
Laura Moreno	PE
Gabriele Bavota	IT
Massimiliano Di Penta	IT
Rocco Oliveto	AR
Andrian Marcus	ID
Gerardo Canfora	IT
Massimiliano Di Penta	IT
R. K. Heaton	US
CJ Chelune	US
JL Talley	US
GG Kay	ES
Glenn Curtiss	US
Moritz Beller	US
Georgios Gousios	GR
Andy Zaidman	IL
Michael Hilton	US
Nicholas Nelson	ZA
Timothy Tunnell	US
Darko Marinov	BG
Danny Dig	PH
Bin Lin	CN
Fiorella Zampetti	IT
Gabriele Bavota	IT
Massimiliano Di Penta	IT
Michele Lanza	HN
Rocco Oliveto	AR
Bin Lin	CN
Fiorella Zampetti	IT
Gabriele Bavota	IT
Massimiliano Di Penta	IT
Michele Lanza	HN
Sebastian Baltes	DE
Christoph Treude	DE
Stephan Diehl	US
Fiorella Zampetti	IT
Carmine Vassallo	MT
Sebastiano Panichella	IT
Gerardo Canfora	IT
Harald Gall	US
Massimiliano Di Penta	IT
Jana HÃ¶nke	DE
Moses Openja	KE
Bram Adams	US
Foutse Khomh	CA
Rashina Hoda	AL</t>
  </si>
  <si>
    <t>Natália Juristo - ES - Europe
Ana M. Moreno - US - North America
Andrea Arcuri - IT - Europe
Lionel Briand - FR - Europe
Luca Ponzanelli - IT - Europe
Gabriele Bavota - IT - Europe
Massimiliano Di Penta - IT - Europe
Rocco Oliveto - AR - South America
Michele Lanza - HN - North America
Kim Herzig - CH - Europe
Sascha Just - DK - Europe
Andreas Zeller - CH - Europe
Pearl Brereton - IE - Europe
Barbara Kitchenham - GB - Europe
David Budgen - GB - Europe
Mark Turner - CA - North America
Mohamed Bakr Khalil - EG - Africa
Aaron Clauset - US - North America
Cristopher Moore - US - North America
M. E. J. Newman - US - North America
Andrea Arcuri - IT - Europe
Lionel Briand - FR - Europe
Eirini Kalliamvakou - GR - Europe
Georgios Gousios - GR - Europe
Kelly Blincoe - NZ - Oceania
Leif Singer - US - North America
Daniel M. Germán - DO - North America
Daniela Damian - RO - Europe
Giuliano Antoniol - AT - Europe
Kamel Ayari - TN - Africa
Massimiliano Di Penta - IT - Europe
Foutse Khomh - CA - North America
Yann-Gaël Guéhéneuc - unknown - Unknown
Christian Bird - US - North America
Adrian Bachmann - CH - Europe
Eirik Aune - NO - Europe
John C. Duffy - IE - Europe
Abraham Bernstein - US - North America
Vladimir Filkov - BG - Europe
Prémkumar Dévanbu - unknown - Unknown
Martin P. Robillard - CA - North America
Robert J. Walker - US - North America
Thomas Zimmermann - DE - Europe
Miryung Kim - KR - Asia
Thomas Zimmermann - DE - Europe
Robert DeLine - CA - North America
Andrew Begel - FR - Europe
Laura Moreno - PE - South America
Gabriele Bavota - IT - Europe
Massimiliano Di Penta - IT - Europe
Rocco Oliveto - AR - South America
Andrian Marcus - ID - Asia
Gerardo Canfora - IT - Europe
Massimiliano Di Penta - IT - Europe
R. K. Heaton - US - North America
CJ Chelune - US - North America
JL Talley - US - North America
GG Kay - ES - Europe
Glenn Curtiss - US - North America
Moritz Beller - US - North America
Georgios Gousios - GR - Europe
Andy Zaidman - IL - Asia
Michael Hilton - US - North America
Nicholas Nelson - ZA - Africa
Timothy Tunnell - US - North America
Darko Marinov - BG - Europe
Danny Dig - PH - Asia
Bin Lin - CN - Asia
Fiorella Zampetti - IT - Europe
Gabriele Bavota - IT - Europe
Massimiliano Di Penta - IT - Europe
Michele Lanza - HN - North America
Rocco Oliveto - AR - South America
Bin Lin - CN - Asia
Fiorella Zampetti - IT - Europe
Gabriele Bavota - IT - Europe
Massimiliano Di Penta - IT - Europe
Michele Lanza - HN - North America
Sebastian Baltes - DE - Europe
Christoph Treude - DE - Europe
Stephan Diehl - US - North America
Fiorella Zampetti - IT - Europe
Carmine Vassallo - MT - Europe
Sebastiano Panichella - IT - Europe
Gerardo Canfora - IT - Europe
Harald Gall - US - North America
Massimiliano Di Penta - IT - Europe
Jana Hönke - DE - Europe
Moses Openja - KE - Africa
Bram Adams - US - North America
Foutse Khomh - CA - North America
Rashina Hoda - AL - Europe</t>
  </si>
  <si>
    <t>Miryung Kim - KR - Asia
Andrian Marcus - ID - Asia
Andy Zaidman - IL - Asia
Danny Dig - PH - Asia
Bin Lin - CN - Asia
Bin Lin - CN - Asia</t>
  </si>
  <si>
    <t>Natália Juristo - ES - Europe
Ana M. Moreno - US - North America
Andrea Arcuri - IT - Europe
Lionel Briand - FR - Europe
Luca Ponzanelli - IT - Europe
Gabriele Bavota - IT - Europe
Massimiliano Di Penta - IT - Europe
Rocco Oliveto - AR - South America
Michele Lanza - HN - North America
Kim Herzig - CH - Europe
Sascha Just - DK - Europe
Andreas Zeller - CH - Europe
Pearl Brereton - IE - Europe
Barbara Kitchenham - GB - Europe
David Budgen - GB - Europe
Mark Turner - CA - North America
Mohamed Bakr Khalil - EG - Africa
Aaron Clauset - US - North America
Cristopher Moore - US - North America
M. E. J. Newman - US - North America
Andrea Arcuri - IT - Europe
Lionel Briand - FR - Europe
Eirini Kalliamvakou - GR - Europe
Georgios Gousios - GR - Europe
Kelly Blincoe - NZ - Oceania
Leif Singer - US - North America
Daniel M. Germán - DO - North America
Daniela Damian - RO - Europe
Giuliano Antoniol - AT - Europe
Kamel Ayari - TN - Africa
Massimiliano Di Penta - IT - Europe
Foutse Khomh - CA - North America
Yann-Gaël Guéhéneuc - unknown - Unknown
Christian Bird - US - North America
Adrian Bachmann - CH - Europe
Eirik Aune - NO - Europe
John C. Duffy - IE - Europe
Abraham Bernstein - US - North America
Vladimir Filkov - BG - Europe
Prémkumar Dévanbu - unknown - Unknown
Martin P. Robillard - CA - North America
Robert J. Walker - US - North America
Thomas Zimmermann - DE - Europe
Thomas Zimmermann - DE - Europe
Robert DeLine - CA - North America
Andrew Begel - FR - Europe
Laura Moreno - PE - South America
Gabriele Bavota - IT - Europe
Massimiliano Di Penta - IT - Europe
Rocco Oliveto - AR - South America
Gerardo Canfora - IT - Europe
Massimiliano Di Penta - IT - Europe
R. K. Heaton - US - North America
CJ Chelune - US - North America
JL Talley - US - North America
GG Kay - ES - Europe
Glenn Curtiss - US - North America
Moritz Beller - US - North America
Georgios Gousios - GR - Europe
Michael Hilton - US - North America
Nicholas Nelson - ZA - Africa
Timothy Tunnell - US - North America
Darko Marinov - BG - Europe
Fiorella Zampetti - IT - Europe
Gabriele Bavota - IT - Europe
Massimiliano Di Penta - IT - Europe
Michele Lanza - HN - North America
Rocco Oliveto - AR - South America
Fiorella Zampetti - IT - Europe
Gabriele Bavota - IT - Europe
Massimiliano Di Penta - IT - Europe
Michele Lanza - HN - North America
Sebastian Baltes - DE - Europe
Christoph Treude - DE - Europe
Stephan Diehl - US - North America
Fiorella Zampetti - IT - Europe
Carmine Vassallo - MT - Europe
Sebastiano Panichella - IT - Europe
Gerardo Canfora - IT - Europe
Harald Gall - US - North America
Massimiliano Di Penta - IT - Europe
Jana Hönke - DE - Europe
Moses Openja - KE - Africa
Bram Adams - US - North America
Foutse Khomh - CA - North America
Rashina Hoda - AL - Europe</t>
  </si>
  <si>
    <t>0 from 1</t>
  </si>
  <si>
    <t xml:space="preserve">Reference_List1_ESEM2022_YinglingLi
</t>
  </si>
  <si>
    <t xml:space="preserve">(86) : 78.18% male authors, 
(23): 20.91% female authors, 
(1): 0.91% authors of unknown gender.
</t>
  </si>
  <si>
    <t>Male: 87 → 79.1%
Female: 23 → 20.9%</t>
  </si>
  <si>
    <t>Song Wang: X is M</t>
  </si>
  <si>
    <t>Dongsun Kim - M
Yida Tao - M
Sunghun Kim - M
Andreas Zeller - M
Tien-Duy B. Le - M
Richard J. Oentaryo - M
David Lo - M
Yuan Tian - M
David Lo - M
C. P. Sun - M
Yuan Tian - M
David Lo - M
Xin Xia - M
C. P. Sun - M
John Anvik - M
Lyndon Hiew - M
Gail C. Murphy - F
Gaeul Jeong - F
Sunghun Kim - M
Thomas Zimmermann - M
Jian Zhou - M
Hongyu Zhang - M
David Lo - M
Ronan Collobert - M
Jason Weston - M
C. P. Sun - M
David Lo - M
Xiaoyin Wang - F
Jing Jiang - F
Siau-Cheng Khoo - M
Tim Menzies - M
Andrian Marcus - M
Xiaoyin Wang - F
Lu Zhang - F
Tao Xie - M
John Anvik - M
Jiasu Sun - M
Tianzhu Zhang - M
Bernard Ghanem - M
Si Liu - M
Narendra Ahuja - M
Long Duong - M
Trevor Cohn - M
Steven Bird - M
Paul Cook - M
Xin Xia - M
David Lo - M
Emad Shihab - M
Xinyu Wang - M
Xin Xia - M
David Lo - M
Ying Ding - F
Jafar M. Al-Kofahi - M
Tien N. Nguyen - M
Xinyu Wang - M
Wenjie Liu - M
Shanshan Wang - F
Xin Chen - M
He Jiang - M
Junjie Wang - M
Mingyang Li - M
Song Wang - M
Tim Menzies - M
Qing Wang - F
Jinfeng Rao - M
Ferhan Türe - M
Jimmy Lin - M
Weiqin Zou - F
David Lo - M
Zhenyu Chen - M
Xin Xia - M
Yang Feng - M
Baowen Xu - M
Feifei Tu - F
Jiaxin Zhu - F
Qimu Zheng - M
Minghui Zhou - M
Luiz Alberto Ferreira Gomes - M
Ricardo da Silva Torres - M
Mario Lúcio Côrtes - M
Qasim Umer - M
Hui Liu - F
Inam Illahi - M
Jeniya Tabassum - F
Mounica Maddela - F
Wei Xu - M
Alan Ritter - M
Fang Liu - F
Ge Li - F
Bolin Wei - M
Xin Xia - M
Zhiyi Fu - M
Zhi Jin - M
Fang Liu - F
Ge Li - F
Yunfei Zhao - M
Zhi Jin - M
Mingyang Li - M
Lin Shi - F
Ye Yang - M
Qing Wang - F
Sen Fang - M
Youshuai Tan - M
Tao Zhang - M
Zhou Xu - M
Hui Liu - F
Rui Xie - M
Wei Ye - M
Jinan Sun - F
Shikun Zhang - M</t>
  </si>
  <si>
    <t>Dongsun Kim	KR
Yida Tao	CN
Sunghun Kim	KR
Andreas Zeller	CH
Tien-Duy B. Le	VN
Richard J. Oentaryo	LC
David Lo	MY
Yuan Tian	CN
David Lo	MY
C. P. Sun	CN
Yuan Tian	CN
David Lo	MY
Xin Xia	CN
C. P. Sun	CN
John Anvik	NO
Lyndon Hiew	MY
Gail C. Murphy	IE
Gaeul Jeong	KR
Sunghun Kim	KR
Thomas Zimmermann	DE
Jian Zhou	CN
Hongyu Zhang	US
David Lo	MY
Ronan Collobert	FR
Jason Weston	US
C. P. Sun	CN
David Lo	MY
Xiaoyin Wang	CN
Jing Jiang	CN
Siau-Cheng Khoo	unknown
Tim Menzies	NZ
Andrian Marcus	ID
Xiaoyin Wang	CN
Lu Zhang	ES
Tao Xie	CN
John Anvik	NO
Jiasu Sun	CN
Tianzhu Zhang	CN
Bernard Ghanem	LB
Si Liu	CN
Narendra Ahuja	IN
Long Duong	VN
Trevor Cohn	US
Steven Bird	US
Paul Cook	US
Xin Xia	CN
David Lo	MY
Emad Shihab	BD
Xinyu Wang	US
Xin Xia	CN
David Lo	MY
Ying Ding	CN
Jafar M. Al-Kofahi	JO
Tien N. Nguyen	VN
Xinyu Wang	US
Wenjie Liu	CN
Shanshan Wang	CN
Xin Chen	SG
He Jiang	US
Junjie Wang	GB
Mingyang Li	CN
Song Wang	CN
Tim Menzies	NZ
Qing Wang	CA
Jinfeng Rao	IN
Ferhan TÃ¼re	TR
Jimmy Lin	TW
Weiqin Zou	CN
David Lo	MY
Zhenyu Chen	TW
Xin Xia	CN
Yang Feng	LC
Baowen Xu	CN
Feifei Tu	TW
Jiaxin Zhu	CN
Qimu Zheng	CN
Minghui Zhou	CN
Luiz Alberto Ferreira Gomes	PT
Ricardo da Silva Torres	PT
Mario LÃºcio CÃ´rtes	BR
Qasim Umer	PK
Hui Liu	CN
Inam Illahi	PK
Jeniya Tabassum	BD
Mounica Maddela	IN
Wei Xu	MY
Alan Ritter	US
Fang Liu	CN
Ge Li	CN
Bolin Wei	SE
Xin Xia	CN
Zhiyi Fu	CN
Zhi Jin	SG
Fang Liu	CN
Ge Li	CN
Yunfei Zhao	CN
Zhi Jin	SG
Mingyang Li	CN
Lin Shi	AT
Ye Yang	SG
Qing Wang	CA
Sen Fang	IN
Youshuai Tan	LC
Tao Zhang	IE
Zhou Xu	ES
Hui Liu	CN
Rui Xie	CN
Wei Ye	SG
Jinan Sun	CN
Shikun Zhang	CN</t>
  </si>
  <si>
    <t>Dongsun Kim - KR - Asia
Yida Tao - CN - Asia
Sunghun Kim - KR - Asia
Andreas Zeller - CH - Europe
Tien-Duy B. Le - VN - Asia
Richard J. Oentaryo - LC - North America
David Lo - MY - Asia
Yuan Tian - CN - Asia
David Lo - MY - Asia
C. P. Sun - CN - Asia
Yuan Tian - CN - Asia
David Lo - MY - Asia
Xin Xia - CN - Asia
C. P. Sun - CN - Asia
John Anvik - NO - Europe
Lyndon Hiew - MY - Asia
Gail C. Murphy - IE - Europe
Gaeul Jeong - KR - Asia
Sunghun Kim - KR - Asia
Thomas Zimmermann - DE - Europe
Jian Zhou - CN - Asia
Hongyu Zhang - US - North America
David Lo - MY - Asia
Ronan Collobert - FR - Europe
Jason Weston - US - North America
C. P. Sun - CN - Asia
David Lo - MY - Asia
Xiaoyin Wang - CN - Asia
Jing Jiang - CN - Asia
Siau-Cheng Khoo - unknown - Unknown
Tim Menzies - NZ - Oceania
Andrian Marcus - ID - Asia
Xiaoyin Wang - CN - Asia
Lu Zhang - ES - Europe
Tao Xie - CN - Asia
John Anvik - NO - Europe
Jiasu Sun - CN - Asia
Tianzhu Zhang - CN - Asia
Bernard Ghanem - LB - Asia
Si Liu - CN - Asia
Narendra Ahuja - IN - Asia
Long Duong - VN - Asia
Trevor Cohn - US - North America
Steven Bird - US - North America
Paul Cook - US - North America
Xin Xia - CN - Asia
David Lo - MY - Asia
Emad Shihab - BD - Asia
Xinyu Wang - US - North America
Xin Xia - CN - Asia
David Lo - MY - Asia
Ying Ding - CN - Asia
Jafar M. Al-Kofahi - JO - Asia
Tien N. Nguyen - VN - Asia
Xinyu Wang - US - North America
Wenjie Liu - CN - Asia
Shanshan Wang - CN - Asia
Xin Chen - SG - Asia
He Jiang - US - North America
Junjie Wang - GB - Europe
Mingyang Li - CN - Asia
Song Wang - CN - Asia
Tim Menzies - NZ - Oceania
Qing Wang - CA - North America
Jinfeng Rao - IN - Asia
Ferhan Türe - TR - Asia
Jimmy Lin - TW - Asia
Weiqin Zou - CN - Asia
David Lo - MY - Asia
Zhenyu Chen - TW - Asia
Xin Xia - CN - Asia
Yang Feng - LC - North America
Baowen Xu - CN - Asia
Feifei Tu - TW - Asia
Jiaxin Zhu - CN - Asia
Qimu Zheng - CN - Asia
Minghui Zhou - CN - Asia
Luiz Alberto Ferreira Gomes - PT - Europe
Ricardo da Silva Torres - PT - Europe
Mario Lúcio Côrtes - BR - South America
Qasim Umer - PK - Asia
Hui Liu - CN - Asia
Inam Illahi - PK - Asia
Jeniya Tabassum - BD - Asia
Mounica Maddela - IN - Asia
Wei Xu - MY - Asia
Alan Ritter - US - North America
Fang Liu - CN - Asia
Ge Li - CN - Asia
Bolin Wei - SE - Europe
Xin Xia - CN - Asia
Zhiyi Fu - CN - Asia
Zhi Jin - SG - Asia
Fang Liu - CN - Asia
Ge Li - CN - Asia
Yunfei Zhao - CN - Asia
Zhi Jin - SG - Asia
Mingyang Li - CN - Asia
Lin Shi - AT - Europe
Ye Yang - SG - Asia
Qing Wang - CA - North America
Sen Fang - IN - Asia
Youshuai Tan - LC - North America
Tao Zhang - IE - Europe
Zhou Xu - ES - Europe
Hui Liu - CN - Asia
Rui Xie - CN - Asia
Wei Ye - SG - Asia
Jinan Sun - CN - Asia
Shikun Zhang - CN - Asia</t>
  </si>
  <si>
    <t>Dongsun Kim (KR)
Yida Tao (CN)
Sunghun Kim (KR)
Tien-Duy B. Le (VN)
David Lo (MY)
Yuan Tian (CN)
C. P. Sun (CN)
Xin Xia (CN)
Lyndon Hiew (MY)
Gaeul Jeong (KR)
Jian Zhou (CN)
Xiaoyin Wang (CN)
Jing Jiang (CN)
Andrian Marcus (ID)
Tao Xie (CN)
Jiasu Sun (CN)
Tianzhu Zhang (CN)
Bernard Ghanem (LB)
Si Liu (CN)
Narendra Ahuja (IN)
Long Duong (VN)
Emad Shihab (BD)
Ying Ding (CN)
Jafar M. Al-Kofahi (JO)
Tien N. Nguyen (VN)
Wenjie Liu (CN)
Shanshan Wang (CN)
Xin Chen (SG)
Mingyang Li (CN)
Song Wang (CN)
Jinfeng Rao (IN)
Ferhan Türe (TR)
Jimmy Lin (TW)
Weiqin Zou (CN)
Zhenyu Chen (TW)
Baowen Xu (CN)
Feifei Tu (TW)
Jiaxin Zhu (CN)
Qimu Zheng (CN)
Minghui Zhou (CN)
Qasim Umer (PK)
Hui Liu (CN)
Inam Illahi (PK)
Jeniya Tabassum (BD)
Mounica Maddela (IN)
Wei Xu (MY)
Fang Liu (CN)
Ge Li (CN)
Zhiyi Fu (CN)
Zhi Jin (SG)
Yunfei Zhao (CN)
Ye Yang (SG)
Sen Fang (IN)
Rui Xie (CN)
Wei Ye (SG)
Jinan Sun (CN)
Shikun Zhang (CN)</t>
  </si>
  <si>
    <t>Andreas Zeller (CH) – Europe
Richard J. Oentaryo (LC) – North America
John Anvik (NO) – Europe
Gail C. Murphy (IE) – Europe
Thomas Zimmermann (DE) – Europe
Hongyu Zhang (US) – North America
Ronan Collobert (FR) – Europe
Jason Weston (US) – North America
Siau-Cheng Khoo (unknown) – Unknown
Tim Menzies (NZ) – Oceania
Lu Zhang (ES) – Europe
Trevor Cohn (US) – North America
Steven Bird (US) – North America
Paul Cook (US) – North America
Xinyu Wang (US) – North America
He Jiang (US) – North America
Junjie Wang (GB) – Europe
Qing Wang (CA) – North America
Yang Feng (LC) – North America
Luiz Alberto Ferreira Gomes (PT) – Europe
Ricardo da Silva Torres (PT) – Europe
Mario Lúcio Côrtes (BR) – South America
Alan Ritter (US) – North America
Bolin Wei (SE) – Europe
Lin Shi (AT) – Europe
Youshuai Tan (LC) – North America
Tao Zhang (IE) – Europe
Zhou Xu (ES) – Europe</t>
  </si>
  <si>
    <t>Song Wang</t>
  </si>
  <si>
    <t>1 from 1</t>
  </si>
  <si>
    <t>Reference_List2_ESEM2020_HéctorCadavid</t>
  </si>
  <si>
    <t>82.29% male authors, 
17.71% female authors, 
0.00% authors of unknown gender.</t>
  </si>
  <si>
    <t>Male: 80 (83.3 %)
Female: 16 (16.7 %)</t>
  </si>
  <si>
    <t>Mark A. Ardis - W is M</t>
  </si>
  <si>
    <t>Victor R. Basili – m
Paul Clements – m
Rick Kazman – m
Mark M. Klein – m
Forrest Shull – m
Janice Singer – f
Dag I. K. Sjøberg – m
Kathryn Yusoff – f
Claes Wohlin – m
Per Runeson – m
Martin Höst – m
Magnus C. Ohlsson – m
Björn Regnell – m
Anders Wesslén – m
Johan Linåker – m
Sardar Muhammad Sulaman – m
Rafael de Mello – m
Martin Höst – m
Richard de Neufville – m
Eberhardt Rechtin – m
Devanandham Henry – m
Art Pyster – m
David H. Olwell – m
Nicole Hutchison – f
Stephanie Enck – f
James F. Anthony – m
Mark W. Maier – m
John P. Klein – m
Hans van Vliet – m
Satu Elo – f
Helvi Kyngäs – f
Raghu Singh – m
Art Pyster – m
Rick Adcock – m
Mark A. Ardis – m
Robert Cloutier – m
Devanandham Henry – m
Linda M. Laird – f
Harold ‘Bud’ Lawson – m
Michael Pennotti – m
Kevin Sullivan – m
Jon Wade – m
Gerrit Müller – m
W. Clifton Baldwin – m
Brian Sauser – m
Craig C. Hofmeister – m
Philippe Kruchten – m
Robert L. Nord – m
Henk Obbink – m
Alexander Ran – m
Pierre America – m
Kathryn Yusoff – f
Alex Gorod – m
Brian Sauser – m
John Boardman – m
Richard E. Fairley – m
Mary Jane Willshire – f
Per Runeson – m
Martin Höst – m
Barry Boehm – m
Jo Ann Lane – f
Brian Mekdeci – m
Nirav R. Shah – m
Adam M. Ross – m
Donna H. Rhodes – f
Daniel E. Hastings – m
Michael Henshaw – m
Arun Babu – m
Sorin M. Iacob – m
Paolo Lollini – m
Marco Mori – m
Jay Lee – m
Behrad Bagheri – m
Hung-An Kao – m
Pierre Bourque – m
Richard E. Fairley – m
James A. Crowder – m
John N. Carbone – m
Russell Demijohn – m
Lan Yang – f
Kathryn Cormican – f
Ming Yu – m
Sarah Sheard – f
John Cadigan – m
Leung Chim – m
Rita Creel – f
Joseph Marvin – m
Michael E. Pafford – m
Richard E. Fairley – m
Sarah Sheard – f
Michael E. Pafford – m
Mike Phillips – m
Héctor Cadavid – m
Vasilios Andrikopoulos – m
Paris Avgeriou – m
Eberhardt Rechtin – m</t>
  </si>
  <si>
    <t>Victor R. Basili	IT
Paul Clements	US
Rick Kazman	CA
Mark M. Klein	DE
Forrest Shull	US
Janice Singer	US
Dag I. K. SjÃ¸berg	NO
Kathryn Yusoff	MY
Claes Wohlin	SE
Per Runeson	SE
Martin HÃ¶st	SE
Magnus C. Ohlsson	SE
BjÃ¶rn Regnell	SE
Anders WesslÃ©n	SE
Johan LinÃ¥ker	SE
Sardar Muhammad Sulaman	PK
Rafael de Mello	BR
Martin HÃ¶st	SE
Richard de Neufville	JM
Eberhardt Rechtin	US
Devanandham Henry	JM
Art Pyster	AU
David H. Olwell	IE
Nicole Hutchison	US
Stephanie Enck	US
James F. Anthony	US
Mark W. Maier	AT
John P. Klein	DE
Hans van Vliet	NL
Satu Elo	FI
Helvi KyngÃ¤s	FI
Raghu Singh	QA
Art Pyster	AU
Rick Adcock	US
Mark A. Ardis	US
Robert Cloutier	CA
Devanandham Henry	JM
Linda M. Laird	US
Harold â€˜Budâ€™ Lawson	US
Michael Pennotti	US
Kevin Sullivan	US
Jon Wade	SN
Gerrit MÃ¼ller	DE
W. Clifton Baldwin	US
Brian Sauser	CH
Craig C. Hofmeister	AT
Philippe Kruchten	LU
Robert L. Nord	SE
Henk Obbink	NL
Alexander Ran	US
Pierre America	US
Kathryn Yusoff	MY
Alex Gorod	RU
Brian Sauser	CH
John Boardman	GB
Richard E. Fairley	US
Mary Jane Willshire	AU
Per Runeson	SE
Martin HÃ¶st	SE
Barry Boehm	US
Jo Ann Lane	US
Brian Mekdeci	US
Nirav R. Shah	US
Adam M. Ross	US
Donna H. Rhodes	US
Daniel E. Hastings	US
Michael Henshaw	GB
Arun Babu	IN
Sorin M. Iacob	RO
Paolo Lollini	IT
Marco Mori	JP
Jay Lee	CZ
Behrad Bagheri	IR
Hung-An Kao	TW
Pierre Bourque	CA
Richard E. Fairley	US
James A. Crowder	US
John N. Carbone	IT
Russell Demijohn	US
Lan Yang	CN
Kathryn Cormican	IE
Ming Yu	SG
Sarah Sheard	GB
John Cadigan	US
Leung Chim	HK
Rita Creel	US
Joseph Marvin	NG
Michael E. Pafford	US
Richard E. Fairley	US
Sarah Sheard	GB
Michael E. Pafford	US
Mike Phillips	NZ
HÃ©ctor Cadavid	CO
Vasilios Andrikopoulos	GR
Paris Avgeriou	GR
Eberhardt Rechtin	US</t>
  </si>
  <si>
    <t>Victor R. Basili - IT - Europe
Paul Clements - US - North America
Rick Kazman - CA - North America
Mark M. Klein - DE - Europe
Forrest Shull - US - North America
Janice Singer - US - North America
Dag I. K. Sjöberg - NO - Europe
Kathryn Yusoff - MY - Asia
Claes Wohlin - SE - Europe
Per Runeson - SE - Europe
Martin Höst - SE - Europe
Magnus C. Ohlsson - SE - Europe
Björn Regnell - SE - Europe
Anders Wesslén - SE - Europe
Johan Linåker - SE - Europe
Sardar Muhammad Sulaman - PK - Asia
Rafael de Mello - BR - South America
Martin Höst - SE - Europe
Richard de Neufville - JM - North America
Eberhardt Rechtin - US - North America
Devanandham Henry - JM - North America
Art Pyster - AU - Oceania
David H. Olwell - IE - Europe
Nicole Hutchison - US - North America
Stephanie Enck - US - North America
James F. Anthony - US - North America
Mark W. Maier - AT - Europe
John P. Klein - DE - Europe
Hans van Vliet - NL - Europe
Satu Elo - FI - Europe
Helvi Kyngäs - FI - Europe
Raghu Singh - QA - Asia
Art Pyster - AU - Oceania
Rick Adcock - US - North America
Mark A. Ardis - US - North America
Robert Cloutier - CA - North America
Devanandham Henry - JM - North America
Linda M. Laird - US - North America
Harold ‘Bud’ Lawson - US - North America
Michael Pennotti - US - North America
Kevin Sullivan - US - North America
Jon Wade - SN - Africa
Gerrit Müller - DE - Europe
W. Clifton Baldwin - US - North America
Brian Sauser - CH - Europe
Craig C. Hofmeister - AT - Europe
Philippe Kruchten - LU - Europe
Robert L. Nord - SE - Europe
Henk Obbink - NL - Europe
Alexander Ran - US - North America
Pierre America - US - North America
Kathryn Yusoff - MY - Asia
Alex Gorod - RU - Europe
Brian Sauser - CH - Europe
John Boardman - GB - Europe
Richard E. Fairley - US - North America
Mary Jane Willshire - AU - Oceania
Per Runeson - SE - Europe
Martin Höst - SE - Europe
Barry Boehm - US - North America
Jo Ann Lane - US - North America
Brian Mekdeci - US - North America
Nirav R. Shah - US - North America
Adam M. Ross - US - North America
Donna H. Rhodes - US - North America
Daniel E. Hastings - US - North America
Michael Henshaw - GB - Europe
Arun Babu - IN - Asia
Sorin M. Iacob - RO - Europe
Paolo Lollini - IT - Europe
Marco Mori - JP - Asia
Jay Lee - CZ - Europe
Behrad Bagheri - IR - Asia
Hung-An Kao - TW - Asia
Pierre Bourque - CA - North America
Richard E. Fairley - US - North America
James A. Crowder - US - North America
John N. Carbone - IT - Europe
Russell Demijohn - US - North America
Lan Yang - CN - Asia
Kathryn Cormican - IE - Europe
Ming Yu - SG - Asia
Sarah Sheard - GB - Europe
John Cadigan - US - North America
Leung Chim - HK - Asia
Rita Creel - US - North America
Joseph Marvin - NG - Africa
Michael E. Pafford - US - North America
Richard E. Fairley - US - North America
Sarah Sheard - GB - Europe
Michael E. Pafford - US - North America
Mike Phillips - NZ - Oceania
Héctor Cadavid - CO - South America
Vasilios Andrikopoulos - GR - Europe
Paris Avgeriou - GR - Europe
Eberhardt Rechtin - US - North America</t>
  </si>
  <si>
    <t>Kathryn Yusoff - MY - Asia
Sardar Muhammad Sulaman - PK - Asia
Raghu Singh - QA - Asia
Kathryn Yusoff - MY - Asia
Arun Babu - IN - Asia
Marco Mori - JP - Asia
Behrad Bagheri - IR - Asia
Hung-An Kao - TW - Asia
Lan Yang - CN - Asia
Ming Yu - SG - Asia
Leung Chim - HK - Asia</t>
  </si>
  <si>
    <t>Victor R. Basili (IT) – Europe
Paul Clements (US) – North America
Rick Kazman (CA) – North America
Mark M. Klein (DE) – Europe
Forrest Shull (US) – North America
Janice Singer (US) – North America
Dag I. K. Sjöberg (NO) – Europe
Claes Wohlin (SE) – Europe
Per Runeson (SE) – Europe
Martin Höst (SE) – Europe
Magnus C. Ohlsson (SE) – Europe
Björn Regnell (SE) – Europe
Anders Wesslén (SE) – Europe
Johan Linåker (SE) – Europe
Rafael de Mello (BR) – South America
Richard de Neufville (JM) – North America
Eberhardt Rechtin (US) – North America
Devanandham Henry (JM) – North America
Art Pyster (AU) – Oceania
David H. Olwell (IE) – Europe
Nicole Hutchison (US) – North America
Stephanie Enck (US) – North America
James F. Anthony (US) – North America
Mark W. Maier (AT) – Europe
John P. Klein (DE) – Europe
Hans van Vliet (NL) – Europe
Satu Elo (FI) – Europe
Helvi Kyngäs (FI) – Europe
Rick Adcock (US) – North America
Mark A. Ardis (US) – North America
Robert Cloutier (CA) – North America
Linda M. Laird (US) – North America
Harold ‘Bud’ Lawson (US) – North America
Michael Pennotti (US) – North America
Kevin Sullivan (US) – North America
Jon Wade (SN) – Africa
Gerrit Müller (DE) – Europe
W. Clifton Baldwin (US) – North America
Brian Sauser (CH) – Europe
Craig C. Hofmeister (AT) – Europe
Philippe Kruchten (LU) – Europe
Robert L. Nord (SE) – Europe
Henk Obbink (NL) – Europe
Alexander Ran (US) – North America
Pierre America (US) – North America
Alex Gorod (RU) – Europe
John Boardman (GB) – Europe
Richard E. Fairley (US) – North America
Mary Jane Willshire (AU) – Oceania
Barry Boehm (US) – North America
Jo Ann Lane (US) – North America
Brian Mekdeci (US) – North America
Nirav R. Shah (US) – North America
Adam M. Ross (US) – North America
Donna H. Rhodes (US) – North America
Daniel E. Hastings (US) – North America
Michael Henshaw (GB) – Europe
Sorin M. Iacob (RO) – Europe
Paolo Lollini (IT) – Europe
Jay Lee (CZ) – Europe
Pierre Bourque (CA) – North America
James A. Crowder (US) – North America
John N. Carbone (IT) – Europe
Russell Demijohn (US) – North America
Kathryn Cormican (IE) – Europe
Sarah Sheard (GB) – Europe
John Cadigan (US) – North America
Rita Creel (US) – North America
Joseph Marvin (NG) – Africa
Michael E. Pafford (US) – North America
Mike Phillips (NZ) – Oceania
Héctor Cadavid (CO) – South America
Vasilios Andrikopoulos (GR) – Europe
Paris Avgeriou (GR) – Europe
Eberhardt Rechtin (US) – North America</t>
  </si>
  <si>
    <t xml:space="preserve">Reference_List2_ESEM2021_KingaBojarczuk
</t>
  </si>
  <si>
    <t>74.73% male authors, 
23.63% female authors, 
1.65% authors of unknown gender.</t>
  </si>
  <si>
    <t>Male: 145: 79.67%
Female: 37: 20.33%</t>
  </si>
  <si>
    <t>Andrea Arcuri (twice)
– CiteFairly: W (0.54)
– me: m
Yue Jia (5 times)
– CiteFairly: W (0.56)
– me: m
Hans-Peter Kriegel
– CiteFairly: X (unspecified)
– me: m
M.D. Jiménez–Gamero: Original – X ; 
Me – f
R.H. Untch: Original – X 
Me – m</t>
  </si>
  <si>
    <t>Andrea Arcuri - m
Lionel Briand - m
Dror G. Feitelson - m
Eitan Frachtenberg - m
Kent Beck - m
J. Voas - m
Keith Miller - m
Kelly Androutsopoulos - f
David Clark - m
Haitao Dan - m
Robert M. Hierons - m
Mark Harman - m
Claire Le Goues - f
Stephanie Forrest - f
Westley Weimer - m
Earl T. Barr - m
Mark Harman - m
Yue Jia - m
Alexandru Marginean - m
Justyna Petke - f
Sergio Terzi - m
Sergio Cavalieri - m
Shin Yoo - m
Mark Harman - m
Qingzhou Luo - m
Farah Hariri - f
Lamyaa Eloussi - f
Darko Marinov - m
Gregory L. Johnson - m
Clayton L. Hanson - m
Stuart P. Hardegree - m
Edward B. Ballard - m
Earl T. Barr - m
Mark Harman - m
Phil McMinn - m
Muzammil Shahbaz - m
Shin Yoo - m
Atif M. Memon - m
Myra B. Cohen - f
Alberto Bacchelli - m
Christian Bird - m
María Virtudes Alba Fernández - f
M.D. Jiménez-Gamero - f
Joaquín Muñoz García - m
Saif Al-Sultan - m
Moath Muayad Al-Doori - m
Ali H. Al-Bayatti - m
H.S.M. Zedan - m
Gregg Rothermel - m
R.H. Untch - m
Chengyun Chu - m
Mary Jean Harrold - f
Koen Claessen - m
John Hughes - m
Zheng Li - m
Mark Harman - m
Robert M. Hierons - m
Tsong Yueh Chen - m
Jianqiang Feng - m
T.H. Tse - m
Yue Jia - m
Mark Harman - m
Ross D. King - m
Kenneth E. Whelan - m
Ffion Mair Jones - f
Philip G.K. Reiser - m
Christopher H. Bryant - m
Stephen Muggleton - m
Douglas B. Kell - m
Stephen G. Oliver - m
Andrea Arcuri - m
Lionel Briand - m
Dino Sejdinović - m
Arthur Gretton - m
Kenji Fukumizu - m
Bharath K. Sriperumbudur - m
Tracy Hall - f
Sarah Beecham - f
David Bowes - m
David Gray - m
Steve Counsell - m
Michael Fagan - m
Karsten Borgwardt - m
Arthur Gretton - m
Malte J. Rasch - m
Hans-Peter Kriegel - m
Bernhard Schölkopf - m
Alex Smola - m
Nadia Alshahwan - f
Mark Harman - m
Karl R. Popper - m
Alfred Müller - m
David Bowes - m
Tracy Hall - f
Mark Harman - m
Yue Jia - m
Federica Sarro - f
Fan Wu - m
Margaret-Anne Storey - f
Alexey Zagalsky - m
Atif M. Memon - m
Zebao Gao - m
Bao N. Nguyen - m
Sanjeev Dhanda - m
Eric Nickell - m
Rob Siemborski - m
John Micco - m
David López-Paz - m
Maxime Oquab - m
Justyna Petke - f
Sæmundur Ó. Haraldsson - m
Mark Harman - m
William B. Langdon - m
David R. White - m
John R. Woodward - m
Tianyi Zhang - m
Miryung Kim - f
Alberto Bacchelli - m
Christian Bird - m
Mark Harman - m
Peter W. O’Hearn - m
Christian Steinruecken - m
Emma Smith - f
David M. Janz - m
James Robert Lloyd - m
Zoubin Ghahramani - m
Alexandru Marginean - m
Johannes Bader - m
Satish Chandra - m
Mark Harman - m
Yue Jia - m
Ke Mao - m
Alexander Mols - m
Andrew Scott - m
Haiyan Cai - f
Bryan Goggin - m
Qingtang Jiang - m
George Lakoff - m
Mark L. Johnson - m
Ilmun Kim - f
Aaditya Ramdas - m
Aarti Singh - f
Larry Wasserman - m
Imre Csiszár - m
John Ahlgren - m
Maria Eugenia Berezin - f
Kinga Bojarczuk - f
Elena Dulskyte - f
Inna Dvortsova - f
Johann George - m
Natalija Gucevska - f
Mark Harman - m
María Lomelí - f
Erik Meijer - m
Silvia Sapora - f
Justin Spahr-Summers - m
John Ahlgren - m
Kinga Bojarczuk - f
Sophia Drossopoulou - f
Inna Dvortsova - f
Johann George - m
Natalija Gucevska - f
Mark Harman - m
María Lomelí - f
Simon M. Lucas - m
Erik Meijer - m
Steve Omohundro - m
Rubmary Rojas - f
Silvia Sapora - f
Norm Zhou - m
Feng Han - m
Xing Qiu - m
Hongyu Miao - m
Mark Harman - m
Yue Jia - m
William B. Langdon - m
Koen Claessen - m
John Hughes - m
Simon Urli - m
Zhongxing Yu - m
Lionel Seinturier - m
Martin Monperrus - m</t>
  </si>
  <si>
    <t>Andrea Arcuri	IT
Lionel Briand	FR
Dror G. Feitelson	US
Eitan Frachtenberg	AR
Kent Beck	US
J. Voas	US
Keith Miller	US
Kelly Androutsopoulos	GR
David Clark	US
Haitao Dan	CN
Robert M. Hierons	GB
Mark Harman	US
Claire Le Goues	FR
Stephanie Forrest	US
Westley Weimer	US
Earl T. Barr	US
Mark Harman	US
Yue Jia	MY
Alexandru Marginean	RO
Justyna Petke	DE
Sergio Terzi	TR
Sergio Cavalieri	IT
Shin Yoo	KR
Mark Harman	US
Qingzhou Luo	CN
Farah Hariri	LB
Lamyaa Eloussi	MA
Darko Marinov	BG
Gregory L. Johnson	US
Clayton L. Hanson	US
Stuart P. Hardegree	US
Edward B. Ballard	US
Earl T. Barr	US
Mark Harman	US
Phil McMinn	US
Muzammil Shahbaz	PK
Shin Yoo	KR
Atif M. Memon	PK
Myra B. Cohen	IL
Alberto Bacchelli	IT
Christian Bird	US
MarÃ­a Virtudes Alba FernÃ¡ndez	UY
M.D. JimÃ©nez-Gamero	unknown
JoaquÃ­n MuÃ±oz GarcÃ­a	CL
Saif Al-Sultan	KW
Moath Muayad Al-Doori	IQ
Ali H. Al-Bayatti	IQ
H.S.M. Zedan	SY
Gregg Rothermel	US
R.H. Untch	DE
Chengyun Chu	HK
Mary Jean Harrold	US
Koen Claessen	NL
John Hughes	US
Zheng Li	PA
Mark Harman	US
Robert M. Hierons	GB
Tsong Yueh Chen	TW
Jianqiang Feng	CN
T.H. Tse	HK
Yue Jia	MY
Mark Harman	US
Ross D. King	US
Kenneth E. Whelan	IE
Ffion Mair Jones	US
Philip G.K. Reiser	DE
Christopher H. Bryant	US
Stephen Muggleton	AU
Douglas B. Kell	US
Stephen G. Oliver	US
Andrea Arcuri	IT
Lionel Briand	FR
Dino SejdinoviÄ‡	BA
Arthur Gretton	GB
Kenji Fukumizu	JP
Bharath K. Sriperumbudur	IN
Tracy Hall	US
Sarah Beecham	US
David Bowes	IE
David Gray	AE
Steve Counsell	NZ
Michael Fagan	IE
Karsten Borgwardt	DE
Arthur Gretton	GB
Malte J. Rasch	DK
Hans-Peter Kriegel	DE
Bernhard SchÃ¶lkopf	DE
Alex Smola	CZ
Nadia Alshahwan	JO
Mark Harman	US
Karl R. Popper	US
Alfred MÃ¼ller	DE
David Bowes	IE
Tracy Hall	US
Mark Harman	US
Yue Jia	MY
Federica Sarro	IT
Fan Wu	TW
Margaret-Anne Storey	GB
Alexey Zagalsky	IL
Atif M. Memon	PK
Zebao Gao	CN
Bao N. Nguyen	VN
Sanjeev Dhanda	IN
Eric Nickell	US
Rob Siemborski	PL
John Micco	IT
David LÃ³pez-Paz	unknown
Maxime Oquab	FR
Justyna Petke	DE
SÃ¦mundur Ã“. Haraldsson	IS
Mark Harman	US
William B. Langdon	US
David R. White	US
John R. Woodward	US
Tianyi Zhang	CN
Miryung Kim	KR
Alberto Bacchelli	IT
Christian Bird	US
Mark Harman	US
Peter W. Oâ€™Hearn	NZ
Christian Steinruecken	DE
Emma Smith	AU
David M. Janz	DE
James Robert Lloyd	US
Zoubin Ghahramani	IR
Alexandru Marginean	RO
Johannes Bader	KW
Satish Chandra	OM
Mark Harman	US
Yue Jia	MY
Ke Mao	CN
Alexander Mols	NL
Andrew Scott	US
Haiyan Cai	CN
Bryan Goggin	IE
Qingtang Jiang	CN
George Lakoff	US
Mark L. Johnson	US
Ilmun Kim	KR
Aaditya Ramdas	IN
Aarti Singh	IN
Larry Wasserman	US
Imre CsiszÃ¡r	HU
John Ahlgren	SE
Maria Eugenia Berezin	UA
Kinga Bojarczuk	PL
Elena Dulskyte	LT
Inna Dvortsova	LV
Johann George	RO
Natalija Gucevska	CH
Mark Harman	US
MarÃ­a LomelÃ­	MX
Erik Meijer	NL
Silvia Sapora	IT
Justin Spahr-Summers	US
John Ahlgren	SE
Kinga Bojarczuk	PL
Sophia Drossopoulou	GR
Inna Dvortsova	LV
Johann George	RO
Natalija Gucevska	CH
Mark Harman	US
MarÃ­a LomelÃ­	MX
Simon M. Lucas	US
Erik Meijer	NL
Steve Omohundro	US
Rubmary Rojas	CR
Silvia Sapora	IT
Norm Zhou	CN
Feng Han	CN
Xing Qiu	CN
Hongyu Miao	CN
Mark Harman	US
Yue Jia	MY
William B. Langdon	US
Koen Claessen	NL
John Hughes	US
Simon Urli	HR
Zhongxing Yu	CN
Lionel Seinturier	FR
Martin Monperrus	FR</t>
  </si>
  <si>
    <t>Andrea Arcuri - IT - Europe
Lionel Briand - FR - Europe
Dror G. Feitelson - US - North America
Eitan Frachtenberg - AR - South America
Kent Beck - US - North America
J. Voas - US - North America
Keith Miller - US - North America
Kelly Androutsopoulos - GR - Europe
David Clark - US - North America
Haitao Dan - CN - Asia
Robert M. Hierons - GB - Europe
Mark Harman - US - North America
Claire Le Goues - FR - Europe
Stephanie Forrest - US - North America
Westley Weimer - US - North America
Earl T. Barr - US - North America
Mark Harman - US - North America
Yue Jia - MY - Asia
Alexandru Marginean - RO - Europe
Justyna Petke - DE - Europe
Sergio Terzi - TR - Asia
Sergio Cavalieri - IT - Europe
Shin Yoo - KR - Asia
Mark Harman - US - North America
Qingzhou Luo - CN - Asia
Farah Hariri - LB - Asia
Lamyaa Eloussi - MA - Africa
Darko Marinov - BG - Europe
Gregory L. Johnson - US - North America
Clayton L. Hanson - US - North America
Stuart P. Hardegree - US - North America
Edward B. Ballard - US - North America
Earl T. Barr - US - North America
Mark Harman - US - North America
Phil McMinn - US - North America
Muzammil Shahbaz - PK - Asia
Shin Yoo - KR - Asia
Atif M. Memon - PK - Asia
Myra B. Cohen - IL - Asia
Alberto Bacchelli - IT - Europe
Christian Bird - US - North America
María Virtudes Alba Fernández - UY - South America
M.D. Jiménez-Gamero - unknown - Unknown
Joaquín Muñoz García - CL - South America
Saif Al-Sultan - KW - Asia
Moath Muayad Al-Doori - IQ - Asia
Ali H. Al-Bayatti - IQ - Asia
H.S.M. Zedan - SY - Asia
Gregg Rothermel - US - North America
R.H. Untch - DE - Europe
Chengyun Chu - HK - Asia
Mary Jean Harrold - US - North America
Koen Claessen - NL - Europe
John Hughes - US - North America
Zheng Li - PA - North America
Mark Harman - US - North America
Robert M. Hierons - GB - Europe
Tsong Yueh Chen - TW - Asia
Jianqiang Feng - CN - Asia
T.H. Tse - HK - Asia
Yue Jia - MY - Asia
Mark Harman - US - North America
Ross D. King - US - North America
Kenneth E. Whelan - IE - Europe
Ffion Mair Jones - US - North America
Philip G.K. Reiser - DE - Europe
Christopher H. Bryant - US - North America
Stephen Muggleton - AU - Oceania
Douglas B. Kell - US - North America
Stephen G. Oliver - US - North America
Andrea Arcuri - IT - Europe
Lionel Briand - FR - Europe
Dino Sejdinović - BA - Europe
Arthur Gretton - GB - Europe
Kenji Fukumizu - JP - Asia
Bharath K. Sriperumbudur - IN - Asia
Tracy Hall - US - North America
Sarah Beecham - US - North America
David Bowes - IE - Europe
David Gray - AE - Asia
Steve Counsell - NZ - Oceania
Michael Fagan - IE - Europe
Karsten Borgwardt - DE - Europe
Arthur Gretton - GB - Europe
Malte J. Rasch - DK - Europe
Hans-Peter Kriegel - DE - Europe
Bernhard Schölkopf - DE - Europe
Alex Smola - CZ - Europe
Nadia Alshahwan - JO - Asia
Mark Harman - US - North America
Karl R. Popper - US - North America
Alfred Müller - DE - Europe
David Bowes - IE - Europe
Tracy Hall - US - North America
Mark Harman - US - North America
Yue Jia - MY - Asia
Federica Sarro - IT - Europe
Fan Wu - TW - Asia
Margaret-Anne Storey - GB - Europe
Alexey Zagalsky - IL - Asia
Atif M. Memon - PK - Asia
Zebao Gao - CN - Asia
Bao N. Nguyen - VN - Asia
Sanjeev Dhanda - IN - Asia
Eric Nickell - US - North America
Rob Siemborski - PL - Europe
John Micco - IT - Europe
David López-Paz - unknown - Unknown
Maxime Oquab - FR - Europe
Justyna Petke - DE - Europe
Sæmundur Ó. Haraldsson - IS - Europe
Mark Harman - US - North America
William B. Langdon - US - North America
David R. White - US - North America
John R. Woodward - US - North America
Tianyi Zhang - CN - Asia
Miryung Kim - KR - Asia
Alberto Bacchelli - IT - Europe
Christian Bird - US - North America
Mark Harman - US - North America
Peter W. O’Hearn - NZ - Oceania
Christian Steinruecken - DE - Europe
Emma Smith - AU - Oceania
David M. Janz - DE - Europe
James Robert Lloyd - US - North America
Zoubin Ghahramani - IR - Asia
Alexandru Marginean - RO - Europe
Johannes Bader - KW - Asia
Satish Chandra - OM - Asia
Mark Harman - US - North America
Yue Jia - MY - Asia
Ke Mao - CN - Asia
Alexander Mols - NL - Europe
Andrew Scott - US - North America
Haiyan Cai - CN - Asia
Bryan Goggin - IE - Europe
Qingtang Jiang - CN - Asia
George Lakoff - US - North America
Mark L. Johnson - US - North America
Ilmun Kim - KR - Asia
Aaditya Ramdas - IN - Asia
Aarti Singh - IN - Asia
Larry Wasserman - US - North America
Imre Csiszár - HU - Europe
John Ahlgren - SE - Europe
Maria Eugenia Berezin - UA - Europe
Kinga Bojarczuk - PL - Europe
Elena Dulskyte - LT - Europe
Inna Dvortsova - LV - Europe
Johann George - RO - Europe
Natalija Gucevska - CH - Europe
Mark Harman - US - North America
María Lomelí - MX - North America
Erik Meijer - NL - Europe
Silvia Sapora - IT - Europe
Justin Spahr-Summers - US - North America
John Ahlgren - SE - Europe
Kinga Bojarczuk - PL - Europe
Sophia Drossopoulou - GR - Europe
Inna Dvortsova - LV - Europe
Johann George - RO - Europe
Natalija Gucevska - CH - Europe
Mark Harman - US - North America
María Lomelí - MX - North America
Simon M. Lucas - US - North America
Erik Meijer - NL - Europe
Steve Omohundro - US - North America
Rubmary Rojas - CR - North America
Silvia Sapora - IT - Europe
Norm Zhou - CN - Asia
Feng Han - CN - Asia
Xing Qiu - CN - Asia
Hongyu Miao - CN - Asia
Mark Harman - US - North America
Yue Jia - MY - Asia
William B. Langdon - US - North America
Koen Claessen - NL - Europe
John Hughes - US - North America
Simon Urli - HR - Europe
Zhongxing Yu - CN - Asia
Lionel Seinturier - FR - Europe
Martin Monperrus - FR - Europe</t>
  </si>
  <si>
    <t>Haitao Dan - CN - Asia
Yue Jia - MY - Asia
Sergio Terzi - TR - Asia
Shin Yoo - KR - Asia
Qingzhou Luo - CN - Asia
Farah Hariri - LB - Asia
Muzammil Shahbaz - PK - Asia
Shin Yoo - KR - Asia
Atif M. Memon - PK - Asia
Myra B. Cohen - IL - Asia
Saif Al-Sultan - KW - Asia
Moath Muayad Al-Doori - IQ - Asia
Ali H. Al-Bayatti - IQ - Asia
H.S.M. Zedan - SY - Asia
Chengyun Chu - HK - Asia
Tsong Yueh Chen - TW - Asia
Jianqiang Feng - CN - Asia
T.H. Tse - HK - Asia
Yue Jia - MY - Asia
Kenji Fukumizu - JP - Asia
Bharath K. Sriperumbudur - IN - Asia
David Gray - AE - Asia
Nadia Alshahwan - JO - Asia
Yue Jia - MY - Asia
Fan Wu - TW - Asia
Alexey Zagalsky - IL - Asia
Atif M. Memon - PK - Asia
Zebao Gao - CN - Asia
Bao N. Nguyen - VN - Asia
Sanjeev Dhanda - IN - Asia
Tianyi Zhang - CN - Asia
Miryung Kim - KR - Asia
Zoubin Ghahramani - IR - Asia
Johannes Bader - KW - Asia
Satish Chandra - OM - Asia
Yue Jia - MY - Asia
Ke Mao - CN - Asia
Haiyan Cai - CN - Asia
Qingtang Jiang - CN - Asia
Ilmun Kim - KR - Asia
Aaditya Ramdas - IN - Asia
Aarti Singh - IN - Asia
Norm Zhou - CN - Asia
Feng Han - CN - Asia
Xing Qiu - CN - Asia
Hongyu Miao - CN - Asia
Yue Jia - MY - Asia
Zhongxing Yu - CN - Asia</t>
  </si>
  <si>
    <t>Andrea Arcuri - IT - Europe
Lionel Briand - FR - Europe
Dror G. Feitelson - US - North America
Eitan Frachtenberg - AR - South America
Kent Beck - US - North America
J. Voas - US - North America
Keith Miller - US - North America
Kelly Androutsopoulos - GR - Europe
David Clark - US - North America
Robert M. Hierons - GB - Europe
Mark Harman - US - North America
Claire Le Goues - FR - Europe
Stephanie Forrest - US - North America
Westley Weimer - US - North America
Earl T. Barr - US - North America
Mark Harman - US - North America
Alexandru Marginean - RO - Europe
Justyna Petke - DE - Europe
Sergio Cavalieri - IT - Europe
Mark Harman - US - North America
Lamyaa Eloussi - MA - Africa
Darko Marinov - BG - Europe
Gregory L. Johnson - US - North America
Clayton L. Hanson - US - North America
Stuart P. Hardegree - US - North America
Edward B. Ballard - US - North America
Earl T. Barr - US - North America
Mark Harman - US - North America
Phil McMinn - US - North America
Alberto Bacchelli - IT - Europe
Christian Bird - US - North America
María Virtudes Alba Fernández - UY - South America
M.D. Jiménez-Gamero - unknown - Unknown
Joaquín Muñoz García - CL - South America
Gregg Rothermel - US - North America
R.H. Untch - DE - Europe
Mary Jean Harrold - US - North America
Koen Claessen - NL - Europe
John Hughes - US - North America
Zheng Li - PA - North America
Mark Harman - US - North America
Robert M. Hierons - GB - Europe
Mark Harman - US - North America
Ross D. King - US - North America
Kenneth E. Whelan - IE - Europe
Ffion Mair Jones - US - North America
Philip G.K. Reiser - DE - Europe
Christopher H. Bryant - US - North America
Stephen Muggleton - AU - Oceania
Douglas B. Kell - US - North America
Stephen G. Oliver - US - North America
Andrea Arcuri - IT - Europe
Lionel Briand - FR - Europe
Dino Sejdinović - BA - Europe
Arthur Gretton - GB - Europe
Tracy Hall - US - North America
Sarah Beecham - US - North America
David Bowes - IE - Europe
Steve Counsell - NZ - Oceania
Michael Fagan - IE - Europe
Karsten Borgwardt - DE - Europe
Arthur Gretton - GB - Europe
Malte J. Rasch - DK - Europe
Hans-Peter Kriegel - DE - Europe
Bernhard Schölkopf - DE - Europe
Alex Smola - CZ - Europe
Mark Harman - US - North America
Karl R. Popper - US - North America
Alfred Müller - DE - Europe
David Bowes - IE - Europe
Tracy Hall - US - North America
Mark Harman - US - North America
Federica Sarro - IT - Europe
Margaret-Anne Storey - GB - Europe
Eric Nickell - US - North America
Rob Siemborski - PL - Europe
John Micco - IT - Europe
David López-Paz - unknown - Unknown
Maxime Oquab - FR - Europe
Justyna Petke - DE - Europe
Sæmundur Ó. Haraldsson - IS - Europe
Mark Harman - US - North America
William B. Langdon - US - North America
David R. White - US - North America
John R. Woodward - US - North America
Alberto Bacchelli - IT - Europe
Christian Bird - US - North America
Mark Harman - US - North America
Peter W. O’Hearn - NZ - Oceania
Christian Steinruecken - DE - Europe
Emma Smith - AU - Oceania
David M. Janz - DE - Europe
James Robert Lloyd - US - North America
Alexandru Marginean - RO - Europe
Alexander Mols - NL - Europe
Andrew Scott - US - North America
Bryan Goggin - IE - Europe
George Lakoff - US - North America
Mark L. Johnson - US - North America
Larry Wasserman - US - North America
Imre Csiszár - HU - Europe
John Ahlgren - SE - Europe
Maria Eugenia Berezin - UA - Europe
Kinga Bojarczuk - PL - Europe
Elena Dulskyte - LT - Europe
Inna Dvortsova - LV - Europe
Johann George - RO - Europe
Natalija Gucevska - CH - Europe
Mark Harman - US - North America
María Lomelí - MX - North America
Erik Meijer - NL - Europe
Silvia Sapora - IT - Europe
Justin Spahr-Summers - US - North America
John Ahlgren - SE - Europe
Kinga Bojarczuk - PL - Europe
Sophia Drossopoulou - GR - Europe
Inna Dvortsova - LV - Europe
Johann George - RO - Europe
Natalija Gucevska - CH - Europe
Mark Harman - US - North America
María Lomelí - MX - North America
Simon M. Lucas - US - North America
Erik Meijer - NL - Europe
Steve Omohundro - US - North America
Rubmary Rojas - CR - North America
Silvia Sapora - IT - Europe
Mark Harman - US - North America
William B. Langdon - US - North America
Koen Claessen - NL - Europe
John Hughes - US - North America
Simon Urli - HR - Europe
Lionel Seinturier - FR - Europe
Martin Monperrus - FR - Europe</t>
  </si>
  <si>
    <t xml:space="preserve">Yue Jia </t>
  </si>
  <si>
    <t>(5 times) from 10</t>
  </si>
  <si>
    <t xml:space="preserve">Reference_List2_ESEM2022_LarissaBraz
</t>
  </si>
  <si>
    <t>(46): 75.41% male authors, 
(15): 24.59% female authors, 
0.00% authors of unknown gender.</t>
  </si>
  <si>
    <t>Male authors: 47 → 77.05%
Female authors: 14 → 22.95%</t>
  </si>
  <si>
    <t>Basel Katt i- W is M</t>
  </si>
  <si>
    <t>Stephan Diehl - M
Harald Gall - M
Ahmed E. Hassan - M
James Collofello - M
Scott N. Woodfield - M
Irene M. Y. Woon - F
Atreyi Kankanhalli - F
Frederick P. Brooks - M
Michael Felderer - M
Basel Katt - M
Philipp Kalb - M
Jan Jürjens - M
Martín Ochoa - M
Federica Paci - F
Le Minh Sang Tran - M
Thein Than Tun - M
Koen Yskout - M
Riccardo Scandariato - M
Frank Piessens - M
Dries Vanoverberghe - M
Elizabeta Fourneret - F
Matthias Gander - M
Bjørnar Solhaug - M
Ruth Breu - F
Michael Felderer - M
Elizabeta Fourneret - F
Donald C. Hildum - M
Roger Brown - M
Yonghee Shin - M
Andrew Meneely - M
Laurie Williams - F
Jason A. Osborne - M
Patricia A. Adler - F
Peter Adler - M
Robert S. Weiss - M
Sergey Bratus - M
Feng Zhang - M
Foutse Khomh - M
Ying Zou - F
Ahmed E. Hassan - M
Mika Mäntylä - M
Casper Lassenius - M
Stephan Diehl - M
Harald Gall - M
Ahmed E. Hassan - M
Kelley Dempsey - F
Paul Eavy - M
George Moore - M
David Notkin - M
Betty H. C. Cheng - F
Klaus Pohl - M
H. G. Harris - M
A. W. Woodsworth - M
Darlene Stewart - F
Anatol W. Kark - M
Hausi Müller - M
Larissa Braz - F
Enrico Fregnan - M
Gül Çalıklı - F
Alberto Bacchelli - M
Chris Anderson - M</t>
  </si>
  <si>
    <t>Stephan Diehl	US
Harald Gall	US
Ahmed E. Hassan	PK
James Collofello	US
Scott N. Woodfield	NZ
Irene M. Y. Woon	LC
Atreyi Kankanhalli	LC
Frederick P. Brooks	US
Michael Felderer	AT
Basel Katt	US
Philipp Kalb	US
Jan JÃ¼rjens	EE
MartÃ­n Ochoa	ES
Federica Paci	AL
Le Minh Sang Tran	VN
Thein Than Tun	MM
Koen Yskout	BE
Riccardo Scandariato	IT
Frank Piessens	BE
Dries Vanoverberghe	BE
Elizabeta Fourneret	FR
Matthias Gander	CH
BjÃ¸rnar Solhaug	NO
Ruth Breu	CH
Michael Felderer	AT
Elizabeta Fourneret	FR
Donald C. Hildum	US
Roger Brown	CA
Yonghee Shin	KR
Andrew Meneely	US
Laurie Williams	US
Jason A. Osborne	US
Patricia A. Adler	US
Peter Adler	US
Robert S. Weiss	US
Sergey Bratus	UA
Feng Zhang	CN
Foutse Khomh	CA
Ying Zou	CN
Ahmed E. Hassan	PK
Mika MÃ¤ntylÃ¤	FI
Casper Lassenius	FI
Stephan Diehl	US
Harald Gall	US
Ahmed E. Hassan	PK
Kelley Dempsey	IE
Paul Eavy	US
George Moore	US
David Notkin	IL
Betty H. C. Cheng	HK
Klaus Pohl	DE
H. G. Harris	US
A. W. Woodsworth	CA
Darlene Stewart	US
Anatol W. Kark	GR
Hausi MÃ¼ller	DE
Larissa Braz	BR
Enrico Fregnan	IT
GÃ¼l Ã‡alÄ±klÄ±	TR
Alberto Bacchelli	IT
Chris Anderson	US</t>
  </si>
  <si>
    <t>Stephan Diehl - US - North America
Harald Gall - US - North America
Ahmed E. Hassan - PK - Asia
James Collofello - US - North America
Scott N. Woodfield - NZ - Oceania
Irene M. Y. Woon - LC - North America
Atreyi Kankanhalli - LC - North America
Frederick P. Brooks - US - North America
Michael Felderer - AT - Europe
Basel Katt - US - North America
Philipp Kalb - US - North America
Jan Jürjens - EE - Europe
Martín Ochoa - ES - Europe
Federica Paci - AL - Europe
Le Minh Sang Tran - VN - Asia
Thein Than Tun - MM - Asia
Koen Yskout - BE - Europe
Riccardo Scandariato - IT - Europe
Frank Piessens - BE - Europe
Dries Vanoverberghe - BE - Europe
Elizabeta Fourneret - FR - Europe
Matthias Gander - CH - Europe
Bjørnar Solhaug - NO - Europe
Ruth Breu - CH - Europe
Michael Felderer - AT - Europe
Elizabeta Fourneret - FR - Europe
Donald C. Hildum - US - North America
Roger Brown - CA - North America
Yonghee Shin - KR - Asia
Andrew Meneely - US - North America
Laurie Williams - US - North America
Jason A. Osborne - US - North America
Patricia A. Adler - US - North America
Peter Adler - US - North America
Robert S. Weiss - US - North America
Sergey Bratus - UA - Europe
Feng Zhang - CN - Asia
Foutse Khomh - CA - North America
Ying Zou - CN - Asia
Ahmed E. Hassan - PK - Asia
Mika Mäntylä - FI - Europe
Casper Lassenius - FI - Europe
Stephan Diehl - US - North America
Harald Gall - US - North America
Ahmed E. Hassan - PK - Asia
Kelley Dempsey - IE - Europe
Paul Eavy - US - North America
George Moore - US - North America
David Notkin - IL - Asia
Betty H. C. Cheng - HK - Asia
Klaus Pohl - DE - Europe
H. G. Harris - US - North America
A. W. Woodsworth - CA - North America
Darlene Stewart - US - North America
Anatol W. Kark - GR - Europe
Hausi Müller - DE - Europe
Larissa Braz - BR - South America
Enrico Fregnan - IT - Europe
Gül Çalıklı - TR - Asia
Alberto Bacchelli - IT - Europe
Chris Anderson - US - North America</t>
  </si>
  <si>
    <t>Ahmed E. Hassan - PK - Asia
Le Minh Sang Tran - VN - Asia
Thein Than Tun - MM - Asia
Yonghee Shin - KR - Asia
Feng Zhang - CN - Asia
Ying Zou - CN - Asia
Ahmed E. Hassan - PK - Asia
Ahmed E. Hassan - PK - Asia
David Notkin - IL - Asia
Betty H. C. Cheng - HK - Asia
Gül Çalıklı - TR - Asia</t>
  </si>
  <si>
    <t>Stephan Diehl - US - North America
Harald Gall - US - North America
James Collofello - US - North America
Scott N. Woodfield - NZ - Oceania
Irene M. Y. Woon - LC - North America
Atreyi Kankanhalli - LC - North America
Frederick P. Brooks - US - North America
Michael Felderer - AT - Europe
Basel Katt - US - North America
Philipp Kalb - US - North America
Jan Jürjens - EE - Europe
Martín Ochoa - ES - Europe
Federica Paci - AL - Europe
Koen Yskout - BE - Europe
Riccardo Scandariato - IT - Europe
Frank Piessens - BE - Europe
Dries Vanoverberghe - BE - Europe
Elizabeta Fourneret - FR - Europe
Matthias Gander - CH - Europe
Bjørnar Solhaug - NO - Europe
Ruth Breu - CH - Europe
Michael Felderer - AT - Europe
Elizabeta Fourneret - FR - Europe
Donald C. Hildum - US - North America
Roger Brown - CA - North America
Andrew Meneely - US - North America
Laurie Williams - US - North America
Jason A. Osborne - US - North America
Patricia A. Adler - US - North America
Peter Adler - US - North America
Robert S. Weiss - US - North America
Sergey Bratus - UA - Europe
Foutse Khomh - CA - North America
Mika Mäntylä - FI - Europe
Casper Lassenius - FI - Europe
Stephan Diehl - US - North America
Harald Gall - US - North America
Kelley Dempsey - IE - Europe
Paul Eavy - US - North America
George Moore - US - North America
Klaus Pohl - DE - Europe
H. G. Harris - US - North America
A. W. Woodsworth - CA - North America
Darlene Stewart - US - North America
Anatol W. Kark - GR - Europe
Hausi Müller - DE - Europe
Larissa Braz - BR - South America
Enrico Fregnan - IT - Europe
Alberto Bacchelli - IT - Europe
Chris Anderson - US - North America</t>
  </si>
  <si>
    <t>Reference_List3_ESEM2020_AlexSerban</t>
  </si>
  <si>
    <t>85.59% male authors, 
13.06% female authors, 
1.35% authors of unknown gender.</t>
  </si>
  <si>
    <t>Male: 149: 85.39%
Female: 27: 14.61%</t>
  </si>
  <si>
    <t>D. Sculley - X is M</t>
  </si>
  <si>
    <t>Marcus Ciolkowski (M)
Oliver Laitenberger (M)
Sira Vegas (W)
Stefan Biffl (M)
Grady Booch (M)
Alan W. Brown (M)
Joeri Hofmans (M)
Peter Theuns (M)
Sven Baekelandt (M)
Olivier Maîresse (M)
Niels Schillewaert (M)
Walentina Cools (W)
Barbara Kitchenham (W)
Shari Lawrence Pfleeger (W)
Nitesh V. Chawla (M)
Kevin W. Bowyer (M)
Lawrence Hall (M)
W. Philip Kegelmeyer (M)
Samer Faraj (M)
Lee Sproull (M)
Matthias Feurer (M)
Aaron Klein (M)
Katharina Eggensperger (W)
Jost Tobias Springenberg (M)
Manuel Blum (M)
Frank Hutter (M)
D. Sculley (X)
Gary D. Holt (M)
Daniel Golovin (M)
Eugene Davydov (M)
Todd Phillips (M)
Dietmar Ebner (M)
Vinay Chaudhary (M)
Michael Young (M)
Jean-François Crespo (M)
Dan Dennison (M)
Jöerg Hoffmann (M)
Bart Selman (M)
Margaret‐Anne Storey (W)
Alexey Zagalsky (M)
Fernando Figueira Filho (M)
Leif Singer (M)
Daniel M. Germán (M)
Alexandre Fréchette (M)
Lars Kotthoff (M)
Tomasz Michalak (M)
Talal Rahwan (M)
Holger H. Hoos (M)
Kevin Leyton‐Brown (M)
Carolyn Seaman (W)
Joost Visser (M)
S. Rigal (M)
Rob van der Leek (M)
Pascal van Eck (M)
Gijs Wijnholds (M)
Tom van der Weide (M)
Dimitris Papadopoulos (M)
O. Smirnov (M)
Michał Zieliński (M)
Tim van Kasteren (M)
Neoklis Polyzotis (M)
Sudip Roy (M)
Steven Euijong Whang (M)
Martin Zinkevich (M)
Do Le Quoc (M)
Martin S. Beck (M)
Pramod Bhatotia (M)
Ruichuan Chen (M)
Christof Fetzer (M)
Thorsten Strufe (M)
Vahid Garousi (M)
Michael Felderer (M)
Mika Mäntylä (M)
Denis Baylor (M)
Eric Breck (M)
Heng-Tze Cheng (M)
Noah Fiedel (M)
Chuan Yu Foo (M)
Zakaria Haque (M)
Salem Haykal (M)
Mustafa Ispir (M)
Vihan Jain (M)
Levent Koç (M)
Chiu Yuen Koo (M)
Łukasz Lew (M)
Clemens Mewald (M)
Akshay Naresh Modi (M)
Sukriti Ramesh (W)
Martin Wicke (M)
Jarek Wilkiewicz (M)
Xin Zhang (M)
Shanqing Cai (M)
Eric Nielsen (M)
Michael Salib (M)
Vinay Sridhar (M)
Sriram Subramanian (M)
Dulcardo Arteaga (M)
Sundararaman Swaminathan (M)
Drew Roselli (M)
Nisha Talagala (W)
Foutse Khomh (M)
Bram Adams (M)
Jinghui Cheng (W)
Marios Fokaefs (M)
Giuliano Antoniol (M)
Anders Arpteg (M)
Björn Brinne (M)
Luka Crnkovic-Friis (M)
Jan Bosch (M)
Saleema Amershi (W)
Andrew Begel (M)
Christian Bird (M)
Robert DeLine (M)
Harald Gall (M)
Ece Kamar (W)
Nachiappan Nagappan (M)
Besmira Nushi (W)
Thomas Zimmermann (M)
Kevin Haas (M)
Konstantinos Katsiapis (M)
Sammy Leong (M)
Rose Liu (W)
Hui Miao (W)
Mitchell Trott (M)
Lucy Ellen Lwakatare (W)
Aiswarya Raj (W)
Helena Holmström Olsson (W)
Ivica Crnković (M)
Todd Sedano (M)
Paul Ralph (M)
Cécile Péraire (W)
Fuyuki Ishikawa (M)
Nobukazu Yoshioka (M)
Waldemar Hummer (M)
Vinod Muthusamy (M)
Thomas Rausch (M)
Parijat Dube (M)
Kaoutar El Maghraoui (W)
Anupama Murthi (W)
Punleuk Oum (W)
Zhiyuan Wan (M)
Xin Xia (M)
David Lo (M)
Gail C. Murphy (W)
Yuji Roh (M)
Geon Heo (M)
Elizamary Nascimento (M)
Iftekhar Ahmed (M)
Edson Oliveira (M)
Marcio Piedade Palheta (M)
Igor Steinmacher (M)
Tayana Conte (W)
Hironori Washizaki (M)
Hiromu Uchida (M)
Yann‐Gaël Guéhéneuc (X)
Scott Lundberg (M)
Gabriel Erion (M)
Hugh Chen (M)
Alex J. DeGrave (M)
Jordan M. Prutkin (M)
Bala G. Nair (M)
Ronit Katz (W)
Jonathan Himmelfarb (M)
Nisha Bansal (W)
Su‐In Lee (M)
Jie M. Zhang (M)
Mark Harman (M)
Lei Ma (M)
Yang Liu (M)
Alex Serban (M)
Koen van der Blom (M)
Austen Rainer (M)
Jojo Moolayil (M)
Nikhil Ketkar (M)
Luı́s Torgo (M)
Rita P. Ribeiro (M)
Bernhard Pfahringer (W)
Paula Branco (M)</t>
  </si>
  <si>
    <t>Marcus Ciolkowski	PL
Oliver Laitenberger	DE
Sira Vegas	VE
Stefan Biffl	AT
Grady Booch	DE
Alan W. Brown	US
Joeri Hofmans	BE
Peter Theuns	NL
Sven Baekelandt	BE
Olivier MaÃ®resse	unknown
Niels Schillewaert	BE
Walentina Cools	BE
Barbara Kitchenham	GB
Shari Lawrence Pfleeger	US
Nitesh V. Chawla	IN
Kevin W. Bowyer	GB
Lawrence Hall	GB
W. Philip Kegelmeyer	US
Samer Faraj	LB
Lee Sproull	NZ
Matthias Feurer	CH
Aaron Klein	US
Katharina Eggensperger	DE
Jost Tobias Springenberg	DE
Manuel Blum	DE
Frank Hutter	AT
D. Sculley	US
Gary D. Holt	US
Daniel Golovin	UA
Eugene Davydov	US
Todd Phillips	US
Dietmar Ebner	AT
Vinay Chaudhary	NP
Michael Young	US
Jean-FranÃ§ois Crespo	EC
Dan Dennison	US
JÃ¶erg Hoffmann	DE
Bart Selman	US
Margaretâ€Anne Storey	unknown
Alexey Zagalsky	IL
Fernando Figueira Filho	BR
Leif Singer	US
Daniel M. GermÃ¡n	DO
Alexandre FrÃ©chette	CA
Lars Kotthoff	DE
Tomasz Michalak	PL
Talal Rahwan	SY
Holger H. Hoos	NL
Kevin Leytonâ€Brown	unknown
Carolyn Seaman	US
Joost Visser	NL
S. Rigal	FR
Rob van der Leek	US
Pascal van Eck	US
Gijs Wijnholds	NL
Tom van der Weide	DE
Dimitris Papadopoulos	GR
O. Smirnov	RU
MichaÅ‚ ZieliÅ„ski	PL
Tim van Kasteren	NL
Neoklis Polyzotis	CA
Sudip Roy	CA
Steven Euijong Whang	KR
Martin Zinkevich	BY
Do Le Quoc	VN
Martin S. Beck	US
Pramod Bhatotia	IN
Ruichuan Chen	TW
Christof Fetzer	US
Thorsten Strufe	DE
Vahid Garousi	IR
Michael Felderer	AT
Mika MÃ¤ntylÃ¤	FI
Denis Baylor	US
Eric Breck	US
Heng-Tze Cheng	unknown
Noah Fiedel	DE
Chuan Yu Foo	LC
Zakaria Haque	BD
Salem Haykal	LB
Mustafa Ispir	TR
Vihan Jain	IN
Levent KoÃ§	TR
Chiu Yuen Koo	TW
Åukasz Lew	LC
Clemens Mewald	AT
Akshay Naresh Modi	IN
Sukriti Ramesh	IN
Martin Wicke	DE
Jarek Wilkiewicz	PL
Xin Zhang	CN
Shanqing Cai	CN
Eric Nielsen	CA
Michael Salib	EG
Vinay Sridhar	IN
Sriram Subramanian	IN
Dulcardo Arteaga	EC
Sundararaman Swaminathan	IN
Drew Roselli	IT
Nisha Talagala	LK
Foutse Khomh	CA
Bram Adams	US
Jinghui Cheng	HK
Marios Fokaefs	GR
Giuliano Antoniol	AT
Anders Arpteg	SE
BjÃ¶rn Brinne	SE
Luka Crnkovic-Friis	SE
Jan Bosch	NL
Saleema Amershi	CA
Andrew Begel	FR
Christian Bird	US
Robert DeLine	CA
Harald Gall	US
Ece Kamar	LB
Nachiappan Nagappan	MY
Besmira Nushi	AL
Thomas Zimmermann	DE
Kevin Haas	AT
Konstantinos Katsiapis	GR
Sammy Leong	MO
Rose Liu	CN
Hui Miao	CN
Mitchell Trott	BM
Lucy Ellen Lwakatare	TZ
Aiswarya Raj	IN
Helena HolmstrÃ¶m Olsson	SE
Ivica CrnkoviÄ‡	HR
Todd Sedano	PE
Paul Ralph	BD
CÃ©cile PÃ©raire	GP
Fuyuki Ishikawa	JP
Nobukazu Yoshioka	JP
Waldemar Hummer	AT
Vinod Muthusamy	IN
Thomas Rausch	DE
Parijat Dube	ZW
Kaoutar El Maghraoui	TN
Anupama Murthi	KW
Punleuk Oum	CM
Zhiyuan Wan	HK
Xin Xia	CN
David Lo	MY
Gail C. Murphy	IE
Yuji Roh	KR
Geon Heo	KR
Elizamary Nascimento	BR
Iftekhar Ahmed	KW
Edson Oliveira	BR
Marcio Piedade Palheta	BR
Igor Steinmacher	HU
Tayana Conte	IT
Hironori Washizaki	JP
Hiromu Uchida	JP
Yannâ€GaÃ«l GuÃ©hÃ©neuc	unknown
Scott Lundberg	SE
Gabriel Erion	RO
Hugh Chen	TW
Alex J. DeGrave	BE
Jordan M. Prutkin	UA
Bala G. Nair	AE
Ronit Katz	IL
Jonathan Himmelfarb	IL
Nisha Bansal	IN
Suâ€In Lee	unknown
Jie M. Zhang	CN
Mark Harman	US
Lei Ma	MO
Yang Liu	LC
Alex Serban	RO
Koen van der Blom	NL
Austen Rainer	AU
Jojo Moolayil	AE
Nikhil Ketkar	IN
LuÄ±Ìs Torgo	unknown
Rita P. Ribeiro	PT
Bernhard Pfahringer	NZ
Paula Branco	PT</t>
  </si>
  <si>
    <t>Marcus Ciolkowski (PL) – Europe
Oliver Laitenberger (DE) – Europe
Sira Vegas (VE) – South America
Stefan Biffl (AT) – Europe
Grady Booch (DE) – Europe
Alan W. Brown (US) – North America
Joeri Hofmans (BE) – Europe
Peter Theuns (NL) – Europe
Sven Baekelandt (BE) – Europe
Olivier Maîresse (unknown) – Unknown
Niels Schillewaert (BE) – Europe
Walentina Cools (BE) – Europe
Barbara Kitchenham (GB) – Europe
Shari Lawrence Pfleeger (US) – North America
Nitesh V. Chawla (IN) – Asia
Kevin W. Bowyer (GB) – Europe
Lawrence Hall (GB) – Europe
W. Philip Kegelmeyer (US) – North America
Samer Faraj (LB) – Asia
Lee Sproull (NZ) – Oceania
Matthias Feurer (CH) – Europe
Aaron Klein (US) – North America
Katharina Eggensperger (DE) – Europe
Jost Tobias Springenberg (DE) – Europe
Manuel Blum (DE) – Europe
Frank Hutter (AT) – Europe
D. Sculley (US) – North America
Gary D. Holt (US) – North America
Daniel Golovin (UA) – Europe
Eugene Davydov (US) – North America
Todd Phillips (US) – North America
Dietmar Ebner (AT) – Europe
Vinay Chaudhary (NP) – Asia
Michael Young (US) – North America
Jean-François Crespo (EC) – South America
Dan Dennison (US) – North America
Jörg Hoffmann (DE) – Europe
Bart Selman (US) – North America
Margaret-Anne Storey (unknown) – Unknown
Alexey Zagalsky (IL) – Asia
Fernando Figueira Filho (BR) – South America
Leif Singer (US) – North America
Daniel M. Germán (DO) – North America
Alexandre Fréchette (CA) – North America
Lars Kotthoff (DE) – Europe
Tomasz Michalak (PL) – Europe
Talal Rahwan (SY) – Asia
Holger H. Hoos (NL) – Europe
Kevin Leyton-Brown (unknown) – Unknown
Carolyn Seaman (US) – North America
Joost Visser (NL) – Europe
S. Rigal (FR) – Europe
Rob van der Leek (US) – North America
Pascal van Eck (US) – North America
Gijs Wijnholds (NL) – Europe
Tom van der Weide (DE) – Europe
Dimitris Papadopoulos (GR) – Europe
O. Smirnov (RU) – Europe
Michał Zieliński (PL) – Europe
Tim van Kasteren (NL) – Europe
Neoklis Polyzotis (CA) – North America
Sudip Roy (CA) – North America
Steven Euijong Whang (KR) – Asia
Martin Zinkevich (BY) – Europe
Do Le Quoc (VN) – Asia
Martin S. Beck (US) – North America
Pramod Bhatotia (IN) – Asia
Ruichuan Chen (TW) – Asia
Christof Fetzer (US) – North America
Thorsten Strufe (DE) – Europe
Vahid Garousi (IR) – Asia
Michael Felderer (AT) – Europe
Mika Mäntylä (FI) – Europe
Denis Baylor (US) – North America
Eric Breck (US) – North America
Heng-Tze Cheng (unknown) – Unknown
Noah Fiedel (DE) – Europe
Chuan Yu Foo (LC) – North America
Zakaria Haque (BD) – Asia
Salem Haykal (LB) – Asia
Mustafa Ispir (TR) – Asia
Vihan Jain (IN) – Asia
Levent Koç (TR) – Asia
Chiu Yuen Koo (TW) – Asia
Łukasz Lew (LC) – North America
Clemens Mewald (AT) – Europe
Akshay Naresh Modi (IN) – Asia
Sukriti Ramesh (IN) – Asia
Martin Wicke (DE) – Europe
Jarek Wilkiewicz (PL) – Europe
Xin Zhang (CN) – Asia
Shanqing Cai (CN) – Asia
Eric Nielsen (CA) – North America
Michael Salib (EG) – Africa
Vinay Sridhar (IN) – Asia
Sriram Subramanian (IN) – Asia
Dulcardo Arteaga (EC) – South America
Sundararaman Swaminathan (IN) – Asia
Drew Roselli (IT) – Europe
Nisha Talagala (LK) – Asia
Foutse Khomh (CA) – North America
Bram Adams (US) – North America
Jinghui Cheng (HK) – Asia
Marios Fokaefs (GR) – Europe
Giuliano Antoniol (AT) – Europe
Anders Arpteg (SE) – Europe
Björn Brinne (SE) – Europe
Luka Crnkovic-Friis (SE) – Europe
Jan Bosch (NL) – Europe
Saleema Amershi (CA) – North America
Andrew Begel (FR) – Europe
Christian Bird (US) – North America
Robert DeLine (CA) – North America
Harald Gall (US) – North America
Ece Kamar (LB) – Asia
Nachiappan Nagappan (MY) – Asia
Besmira Nushi (AL) – Europe
Thomas Zimmermann (DE) – Europe
Kevin Haas (AT) – Europe
Konstantinos Katsiapis (GR) – Europe
Sammy Leong (MO) – Asia
Rose Liu (CN) – Asia
Hui Miao (CN) – Asia
Mitchell Trott (BM) – North America
Lucy Ellen Lwakatare (TZ) – Africa
Aiswarya Raj (IN) – Asia
Helena Holmström Olsson (SE) – Europe
Ivica Crnković (HR) – Europe
Todd Sedano (PE) – South America
Paul Ralph (BD) – Asia
Cécile Péraire (GP) – North America
Fuyuki Ishikawa (JP) – Asia
Nobukazu Yoshioka (JP) – Asia
Waldemar Hummer (AT) – Europe
Vinod Muthusamy (IN) – Asia
Thomas Rausch (DE) – Europe
Parijat Dube (ZW) – Africa
Kaoutar El Maghraoui (TN) – Africa
Anupama Murthi (KW) – Asia
Punleuk Oum (CM) – Africa
Zhiyuan Wan (HK) – Asia
Xin Xia (CN) – Asia
David Lo (MY) – Asia
Gail C. Murphy (IE) – Europe
Yuji Roh (KR) – Asia
Geon Heo (KR) – Asia
Elizamary Nascimento (BR) – South America
Iftekhar Ahmed (KW) – Asia
Edson Oliveira (BR) – South America
Marcio Piedade Palheta (BR) – South America
Igor Steinmacher (HU) – Europe
Tayana Conte (IT) – Europe
Hironori Washizaki (JP) – Asia
Hiromu Uchida (JP) – Asia
Yann-Gaël Guéhéneuc (unknown) – Unknown
Scott Lundberg (SE) – Europe
Gabriel Erion (RO) – Europe
Hugh Chen (TW) – Asia
Alex J. DeGrave (BE) – Europe
Jordan M. Prutkin (UA) – Europe
Bala G. Nair (AE) – Asia
Ronit Katz (IL) – Asia
Jonathan Himmelfarb (IL) – Asia
Nisha Bansal (IN) – Asia
Su-In Lee (unknown) – Unknown
Jie M. Zhang (CN) – Asia
Mark Harman (US) – North America
Lei Ma (MO) – Asia
Yang Liu (LC) – North America
Alex Serban (RO) – Europe
Koen van der Blom (NL) – Europe
Austen Rainer (AU) – Oceania
Jojo Moolayil (AE) – Asia
Nikhil Ketkar (IN) – Asia
Luís Torgo (unknown) – Unknown
Rita P. Ribeiro (PT) – Europe
Bernhard Pfahringer (NZ) – Oceania
Paula Branco (PT) – Europe</t>
  </si>
  <si>
    <t>Nitesh V. Chawla (IN)
Samer Faraj (LB)
Vinay Chaudhary (NP)
Alexey Zagalsky (IL)
Talal Rahwan (SY)
Steven Euijong Whang (KR)
Do Le Quoc (VN)
Pramod Bhatotia (IN)
Ruichuan Chen (TW)
Vahid Garousi (IR)
Zakaria Haque (BD)
Salem Haykal (LB)
Mustafa Ispir (TR)
Vihan Jain (IN)
Levent Koç (TR)
Chiu Yuen Koo (TW)
Akshay Naresh Modi (IN)
Sukriti Ramesh (IN)
Xin Zhang (CN)
Shanqing Cai (CN)
Vinay Sridhar (IN)
Sriram Subramanian (IN)
Sundararaman Swaminathan (IN)
Nisha Talagala (LK)
Jinghui Cheng (HK)
Ece Kamar (LB)
Nachiappan Nagappan (MY)
Sammy Leong (MO)
Rose Liu (CN)
Hui Miao (CN)
Aiswarya Raj (IN)
Paul Ralph (BD)
Fuyuki Ishikawa (JP)
Nobukazu Yoshioka (JP)
Vinod Muthusamy (IN)
Anupama Murthi (KW)
Zhiyuan Wan (HK)
Xin Xia (CN)
David Lo (MY)
Yuji Roh (KR)
Geon Heo (KR)
Iftekhar Ahmed (KW)
Hironori Washizaki (JP)
Hiromu Uchida (JP)
Hugh Chen (TW)
Bala G. Nair (AE)
Ronit Katz (IL)
Jonathan Himmelfarb (IL)
Nisha Bansal (IN)
Jie M. Zhang (CN)
Lei Ma (MO)
Jojo Moolayil (AE)
Nikhil Ketkar (IN)</t>
  </si>
  <si>
    <t>Marcus Ciolkowski (PL)
Oliver Laitenberger (DE)
Sira Vegas (VE)
Stefan Biffl (AT)
Grady Booch (DE)
Alan W. Brown (US)
Joeri Hofmans (BE)
Peter Theuns (NL)
Sven Baekelandt (BE)
Olivier Maîresse (unknown)
Niels Schillewaert (BE)
Walentina Cools (BE)
Barbara Kitchenham (GB)
Shari Lawrence Pfleeger (US)
Kevin W. Bowyer (GB)
Lawrence Hall (GB)
W. Philip Kegelmeyer (US)
Lee Sproull (NZ)
Matthias Feurer (CH)
Aaron Klein (US)
Katharina Eggensperger (DE)
Jost Tobias Springenberg (DE)
Manuel Blum (DE)
Frank Hutter (AT)
D. Sculley (US)
Gary D. Holt (US)
Daniel Golovin (UA)
Eugene Davydov (US)
Todd Phillips (US)
Dietmar Ebner (AT)
Michael Young (US)
Jean-François Crespo (EC)
Dan Dennison (US)
Jörg Hoffmann (DE)
Bart Selman (US)
Margaret-Anne Storey (unknown)
Fernando Figueira Filho (BR)
Leif Singer (US)
Daniel M. Germán (DO)
Alexandre Fréchette (CA)
Lars Kotthoff (DE)
Tomasz Michalak (PL)
Holger H. Hoos (NL)
Kevin Leyton-Brown (unknown)
Carolyn Seaman (US)
Joost Visser (NL)
S. Rigal (FR)
Rob van der Leek (US)
Pascal van Eck (US)
Gijs Wijnholds (NL)
Tom van der Weide (DE)
Dimitris Papadopoulos (GR)
O. Smirnov (RU)
Michał Zieliński (PL)
Tim van Kasteren (NL)
Neoklis Polyzotis (CA)
Sudip Roy (CA)
Martin Zinkevich (BY)
Martin S. Beck (US)
Christof Fetzer (US)
Thorsten Strufe (DE)
Michael Felderer (AT)
Mika Mäntylä (FI)
Denis Baylor (US)
Eric Breck (US)
Heng-Tze Cheng (unknown)
Noah Fiedel (DE)
Chuan Yu Foo (LC)
Łukasz Lew (LC)
Clemens Mewald (AT)
Martin Wicke (DE)
Jarek Wilkiewicz (PL)
Eric Nielsen (CA)
Michael Salib (EG)
Dulcardo Arteaga (EC)
Drew Roselli (IT)
Foutse Khomh (CA)
Bram Adams (US)
Marios Fokaefs (GR)
Giuliano Antoniol (AT)
Anders Arpteg (SE)
Björn Brinne (SE)
Luka Crnkovic-Friis (SE)
Jan Bosch (NL)
Saleema Amershi (CA)
Andrew Begel (FR)
Christian Bird (US)
Robert DeLine (CA)
Harald Gall (US)
Besmira Nushi (AL)
Thomas Zimmermann (DE)
Kevin Haas (AT)
Konstantinos Katsiapis (GR)
Mitchell Trott (BM)
Lucy Ellen Lwakatare (TZ)
Helena Holmström Olsson (SE)
Ivica Crnković (HR)
Todd Sedano (PE)
Cécile Péraire (GP)
Waldemar Hummer (AT)
Thomas Rausch (DE)
Parijat Dube (ZW)
Kaoutar El Maghraoui (TN)
Punleuk Oum (CM)
Gail C. Murphy (IE)
Elizamary Nascimento (BR)
Edson Oliveira (BR)
Marcio Piedade Palheta (BR)
Igor Steinmacher (HU)
Tayana Conte (IT)
Yann-Gaël Guéhéneuc (unknown)
Scott Lundberg (SE)
Gabriel Erion (RO)
Alex J. DeGrave (BE)
Jordan M. Prutkin (UA)
Mark Harman (US)
Yang Liu (LC)
Alex Serban (RO)
Koen van der Blom (NL)
Austen Rainer (AU)
Luís Torgo (unknown)
Rita P. Ribeiro (PT)
Bernhard Pfahringer (NZ)
Paula Branco (PT)</t>
  </si>
  <si>
    <t xml:space="preserve">Reference_List3_ESEM2021_ElizabethBjarnason
</t>
  </si>
  <si>
    <t>75.56% male authors, 
22.22% female authors, 
2.22% authors of unknown gender.</t>
  </si>
  <si>
    <t>71 are male (78.89%)
19 are female (21.11%)</t>
  </si>
  <si>
    <t>Shaoying Liu
Citefairly: Female (W)
actual: Male (M)
Youn-kyung Lim
Citefairly: Male (M)
actual: Female (F)
Béat Hirsbrunner
Citefairly: Female (W)
actual: Male (M) 
J. A. Chevary
Citefairly: Unknown (X)
actual: Male (M) .
S. H. Vosko
Citefairly: unknown (X)
actual: Male (M)</t>
  </si>
  <si>
    <t>Balasubramaniam Ramesh - M
Lan Cao - F
Richard Baskerville - M
Kurt Schneider - M
Pascal Bruegger - M
Denis Lalanne - M
Agnès Lisowska - F
Béat Hirsbrunner - M
Richard E. Fairley - M
Mary Jane Willshire - F
Kai Petersen - M
Sairam Vakkalanka - M
Ludwik Kuźniarz - M
Mikael Wiberg - M
Erik Stolterman - M
Uzair Akbar Raja - M
Pierre Wellner - M
Fauziah Zainuddin - F
Shaoying Liu - M
Ansar‑Ul‑Haque Yasar - M
Michael McCurdy - M
Christopher Connors - M
Guy Pyrzak - M
Bob Kanefsky - M
Alonso Vera - M
Claudine Toffolon - F
Salem Ben Dhaou Dakhli - M
Catherine Grevet - F
Éric Gilbert - M
Kurt Schneider - M
Youn‑kyung Lim - F
Erik Stolterman - M
Josh Tenenberg - M
Jan Derboven - M
Dries De Roeck - M
Mathijs Verstraete - M
David Geerts - M
Ján Schneider - M
Kris Luyten - M
Steven P. Dow - M
Julie Fortuna - F
Dan Schwartz - M
Beth Altringer - F
Daniel L. Schwartz - M
Scott Klemmer - M
Neil Goldman - M
K. Narayanaswamy - M
David G. Hendry - M
Sara Mackenzie - F
Ann Kurth - F
Freya Spielberg - F
Jim Larkin - M
Reinhard Sefelin - M
Manfred Tscheligi - M
Verena Giller - F
Fabrice Kordon - M
Roel Wieringa - M
Neil Maiden - M
Nancy R. Mead - F
Colette Rolland - F
Bryan Ratcliff - M
Jack Hakim - M
Tom Spitzer - M
Horst Lichter - M
Matthias Schneider‐Hufschmidt - M
Heinz Züllighoven - M
Elizabeth Bjarnason - F
Michael Unterkalmsteiner - M
Markus Borg - M
Emelie Engström - F
Jakob Nielsen - M
Raffaele Ciriello - M
Alexander Richter - M
Gerhard Schwabe - M
John P. Perdew - M
J. A. Chevary - M
S. H. Vosko - M
Koblar Alan Jackson - M
Mark R. Pederson - M
Diksha Singh - F
Carlos Fiolhais - M
Tomasz Jaśkiewicz - M
Aadjan van der Helm - F
Jakob Nielsen - M
Vikash K. Mansinghka - M
Ulrich Schaechtle - M
Shivam Handa - M
Alexey Radul - M
Yutian Chen - M
Martin Rinard - M</t>
  </si>
  <si>
    <t>Balasubramaniam Ramesh	LK
Lan Cao	CN
Richard Baskerville	US
Kurt Schneider	DE
Pascal Bruegger	CH
Denis Lalanne	FR
AgnÃ¨s Lisowska	PL
BÃ©at Hirsbrunner	CH
Richard E. Fairley	US
Mary Jane Willshire	AU
Kai Petersen	DK
Sairam Vakkalanka	IN
Ludwik KuÅºniarz	PL
Mikael Wiberg	SE
Erik Stolterman	SE
Uzair Akbar Raja	PK
Pierre Wellner	DE
Fauziah Zainuddin	MY
Shaoying Liu	CN
Ansarâ€‘Ulâ€‘Haque Yasar	unknown
Michael McCurdy	US
Christopher Connors	IE
Guy Pyrzak	PL
Bob Kanefsky	US
Alonso Vera	UY
Claudine Toffolon	IT
Salem Ben Dhaou Dakhli	TN
Catherine Grevet	FR
Ã‰ric Gilbert	US
Kurt Schneider	DE
Younâ€‘kyung Lim	unknown
Erik Stolterman	SE
Josh Tenenberg	PS
Jan Derboven	BE
Dries De Roeck	BE
Mathijs Verstraete	BE
David Geerts	BE
JÃ¡n Schneider	DE
Kris Luyten	BE
Steven P. Dow	US
Julie Fortuna	DO
Dan Schwartz	US
Beth Altringer	US
Daniel L. Schwartz	US
Scott Klemmer	AT
Neil Goldman	US
K. Narayanaswamy	IN
David G. Hendry	GB
Sara Mackenzie	NZ
Ann Kurth	DE
Freya Spielberg	US
Jim Larkin	US
Reinhard Sefelin	AT
Manfred Tscheligi	AT
Verena Giller	CH
Fabrice Kordon	UA
Roel Wieringa	NL
Neil Maiden	US
Nancy R. Mead	US
Colette Rolland	FR
Bryan Ratcliff	US
Jack Hakim	ID
Tom Spitzer	AT
Horst Lichter	IL
Matthias Schneiderâ€Hufschmidt	unknown
Heinz ZÃ¼llighoven	DE
Elizabeth Bjarnason	IS
Michael Unterkalmsteiner	IT
Markus Borg	MT
Emelie EngstrÃ¶m	SE
Jakob Nielsen	DK
Raffaele Ciriello	IT
Alexander Richter	DE
Gerhard Schwabe	DE
John P. Perdew	US
J. A. Chevary	IR
S. H. Vosko	SK
Koblar Alan Jackson	SI
Mark R. Pederson	US
Diksha Singh	IN
Carlos Fiolhais	PT
Tomasz JaÅ›kiewicz	PL
Aadjan van der Helm	US
Jakob Nielsen	DK
Vikash K. Mansinghka	IN
Ulrich Schaechtle	US
Shivam Handa	JP
Alexey Radul	UA
Yutian Chen	TW
Martin Rinard	US</t>
  </si>
  <si>
    <t>Balasubramaniam Ramesh - LK - Asia
Lan Cao - CN - Asia
Richard Baskerville - US - North America
Kurt Schneider - DE - Europe
Pascal Bruegger - CH - Europe
Denis Lalanne - FR - Europe
Agnès Lisowska - PL - Europe
Béat Hirsbrunner - CH - Europe
Richard E. Fairley - US - North America
Mary Jane Willshire - AU - Oceania
Kai Petersen - DK - Europe
Sairam Vakkalanka - IN - Asia
Ludwik Kuźniarz - PL - Europe
Mikael Wiberg - SE - Europe
Erik Stolterman - SE - Europe
Uzair Akbar Raja - PK - Asia
Pierre Wellner - DE - Europe
Fauziah Zainuddin - MY - Asia
Shaoying Liu - CN - Asia
Ansar-Ul-Haque Yasar - unknown - Unknown
Michael McCurdy - US - North America
Christopher Connors - IE - Europe
Guy Pyrzak - PL - Europe
Bob Kanefsky - US - North America
Alonso Vera - UY - South America
Claudine Toffolon - IT - Europe
Salem Ben Dhaou Dakhli - TN - Africa
Catherine Grevet - FR - Europe
Éric Gilbert - US - North America
Kurt Schneider - DE - Europe
Youn-kyung Lim - unknown - Unknown
Erik Stolterman - SE - Europe
Josh Tenenberg - PS - Asia
Jan Derboven - BE - Europe
Dries De Roeck - BE - Europe
Mathijs Verstraete - BE - Europe
David Geerts - BE - Europe
Ján Schneider - DE - Europe
Kris Luyten - BE - Europe
Steven P. Dow - US - North America
Julie Fortuna - DO - North America
Dan Schwartz - US - North America
Beth Altringer - US - North America
Daniel L. Schwartz - US - North America
Scott Klemmer - AT - Europe
Neil Goldman - US - North America
K. Narayanaswamy - IN - Asia
David G. Hendry - GB - Europe
Sara Mackenzie - NZ - Oceania
Ann Kurth - DE - Europe
Freya Spielberg - US - North America
Jim Larkin - US - North America
Reinhard Sefelin - AT - Europe
Manfred Tscheligi - AT - Europe
Verena Giller - CH - Europe
Fabrice Kordon - UA - Europe
Roel Wieringa - NL - Europe
Neil Maiden - US - North America
Nancy R. Mead - US - North America
Colette Rolland - FR - Europe
Bryan Ratcliff - US - North America
Jack Hakim - ID - Asia
Tom Spitzer - AT - Europe
Horst Lichter - IL - Asia
Matthias Schneider-Hufschmidt - unknown - Unknown
Heinz Züllighoven - DE - Europe
Elizabeth Bjarnason - IS - Europe
Michael Unterkalmsteiner - IT - Europe
Markus Borg - MT - Europe
Emelie Engström - SE - Europe
Jakob Nielsen - DK - Europe
Raffaele Ciriello - IT - Europe
Alexander Richter - DE - Europe
Gerhard Schwabe - DE - Europe
John P. Perdew - US - North America
J. A. Chevary - IR - Asia
S. H. Vosko - SK - Europe
Koblar Alan Jackson - SI - Europe
Mark R. Pederson - US - North America
Diksha Singh - IN - Asia
Carlos Fiolhais - PT - Europe
Tomasz Jaśkiewicz - PL - Europe
Aadjan van der Helm - US - North America
Jakob Nielsen - DK - Europe
Vikash K. Mansinghka - IN - Asia
Ulrich Schaechtle - US - North America
Shivam Handa - JP - Asia
Alexey Radul - UA - Europe
Yutian Chen - TW - Asia
Martin Rinard - US - North America</t>
  </si>
  <si>
    <t>Balasubramaniam Ramesh - LK - Asia
Lan Cao - CN - Asia
Sairam Vakkalanka - IN - Asia
Uzair Akbar Raja - PK - Asia
Fauziah Zainuddin - MY - Asia
Shaoying Liu - CN - Asia
Josh Tenenberg - PS - Asia
K. Narayanaswamy - IN - Asia
Jack Hakim - ID - Asia
Horst Lichter - IL - Asia
J. A. Chevary - IR - Asia
Diksha Singh - IN - Asia
Vikash K. Mansinghka - IN - Asia
Shivam Handa - JP - Asia
Yutian Chen - TW - Asia</t>
  </si>
  <si>
    <t>Richard Baskerville - US - North America
Kurt Schneider - DE - Europe
Pascal Bruegger - CH - Europe
Denis Lalanne - FR - Europe
Agnès Lisowska - PL - Europe
Béat Hirsbrunner - CH - Europe
Richard E. Fairley - US - North America
Mary Jane Willshire - AU - Oceania
Kai Petersen - DK - Europe
Ludwik Kuźniarz - PL - Europe
Mikael Wiberg - SE - Europe
Erik Stolterman - SE - Europe
Pierre Wellner - DE - Europe
Ansar-Ul-Haque Yasar - unknown - Unknown
Michael McCurdy - US - North America
Christopher Connors - IE - Europe
Guy Pyrzak - PL - Europe
Bob Kanefsky - US - North America
Alonso Vera - UY - South America
Claudine Toffolon - IT - Europe
Salem Ben Dhaou Dakhli - TN - Africa
Catherine Grevet - FR - Europe
Éric Gilbert - US - North America
Kurt Schneider - DE - Europe
Youn-kyung Lim - unknown - Unknown
Erik Stolterman - SE - Europe
Jan Derboven - BE - Europe
Dries De Roeck - BE - Europe
Mathijs Verstraete - BE - Europe
David Geerts - BE - Europe
Ján Schneider - DE - Europe
Kris Luyten - BE - Europe
Steven P. Dow - US - North America
Julie Fortuna - DO - North America
Dan Schwartz - US - North America
Beth Altringer - US - North America
Daniel L. Schwartz - US - North America
Scott Klemmer - AT - Europe
Neil Goldman - US - North America
David G. Hendry - GB - Europe
Sara Mackenzie - NZ - Oceania
Ann Kurth - DE - Europe
Freya Spielberg - US - North America
Jim Larkin - US - North America
Reinhard Sefelin - AT - Europe
Manfred Tscheligi - AT - Europe
Verena Giller - CH - Europe
Fabrice Kordon - UA - Europe
Roel Wieringa - NL - Europe
Neil Maiden - US - North America
Nancy R. Mead - US - North America
Colette Rolland - FR - Europe
Bryan Ratcliff - US - North America
Tom Spitzer - AT - Europe
Matthias Schneider-Hufschmidt - unknown - Unknown
Heinz Züllighoven - DE - Europe
Elizabeth Bjarnason - IS - Europe
Michael Unterkalmsteiner - IT - Europe
Markus Borg - MT - Europe
Emelie Engström - SE - Europe
Jakob Nielsen - DK - Europe
Raffaele Ciriello - IT - Europe
Alexander Richter - DE - Europe
Gerhard Schwabe - DE - Europe
John P. Perdew - US - North America
S. H. Vosko - SK - Europe
Koblar Alan Jackson - SI - Europe
Mark R. Pederson - US - North America
Carlos Fiolhais - PT - Europe
Tomasz Jaśkiewicz - PL - Europe
Aadjan van der Helm - US - North America
Jakob Nielsen - DK - Europe
Ulrich Schaechtle - US - North America
Alexey Radul - UA - Europe
Martin Rinard - US - North America</t>
  </si>
  <si>
    <t>Shaoying Liu
Youn-kyung Lim
J. A. Chevary</t>
  </si>
  <si>
    <t>3 from 5</t>
  </si>
  <si>
    <t xml:space="preserve">Reference_List3_ESEM2022_HarisMumtaz
</t>
  </si>
  <si>
    <t>(68): 79.07% male authors, 
(17): 19.77% female authors, 
(1): 1.16% authors of unknown gender.</t>
  </si>
  <si>
    <t>86 total:
70 labeled as male, 81.40%
16 labeled as female, 18.60%</t>
  </si>
  <si>
    <t>Andrea De Lucia – should be labeled as Male (M) , but listed as Female (F) in citefairly.
D. Sculley – should be labeled as Male (M) , but listed as Unknown (X) in citefairly.</t>
  </si>
  <si>
    <t>Kelly Blincoe – F
Giuseppe Valetto – M
Daniela Damian – F
Susan Prion – F
Katie Anne Adamson – F
Marcelo Cataldo – M
James D. Herbsleb – M
Alexander Kraskov – M
Harald Stögbauer – M
Peter Grassberger – M
Shyam R. Chidamber – M
Chris F. Kemerer – M
Mehwish Riaz – F
Emília Mendes – F
Ewan Tempero – M
Damian A. Tamburri – M
Philippe Kruchten – M
Patricia Lago – F
Hans van Vliet – M
Tushar Sharma – M
Pratibha Mishra – F
Rohit Tiwari – M
Carolyn Seaman – F
Damian A. Tamburri – M 
Rick Kazman – M
Hamed Fahimi – M
Tushar Sharma – M 
Marios Fragkoulis – M
Diomidis Spinellis – M
Tushar Sharma – M 
Diomidis Spinellis – M
Fabio Palomba – M
Gabriele Bavota – M
Massimiliano Di Penta – M
Fausto Fasano – M
Rocco Oliveto – M
Andrea De Lucia – M 
Bartosz Walter – M
Francesca Arcelli Fontana – F
Vincenzo Ferme – M
Fabio Palomba – M
Damian A. Tamburri – M 
Alexander Serebrenik – M
Andy Zaidman – M
Francesca Arcelli Fontana – F
Rocco Oliveto – M 
Damian A. Tamburri – M
Fabio Palomba – M 
Rick Kazman – M 
Damian A. Tamburri – M
Rick Kazman – M 
Willem‐Jan van den Heuvel – M
Francesca Arcelli Fontana – F 
Valentina Lenarduzzi – F
Riccardo Roveda – M
Davide Taibi – M
Tushar Sharma – M
D. Sculley – M
Gary D. Holt – M
Daniel Golovin – M
Eugene Davydov – M
Todd Phillips – M
Dietmar Ebner – M
Vinay Chaudhary – M
Michael Young – M
Jean‑François Crespo – M
Dan Dennison – M
Tushar Sharma – M
Paramvir Singh – M
Diomidis Spinellis – M
Fabio Palomba – M 
Damian A. Tamburri – M 
Gemma Catolino – F
Fabio Palomba – M
Damian A. Tamburri – M 
Alexander Serebrenik – M 
Filomena Ferrucci – F
Marcelo Cataldo – M 
James D. Herbsleb – M 
Kathleen M. Carley – F
J. R. Quinlan – M
Manuel De Stefano – M
Emanuele Iannone – M
Fabiano Pecorelli – M
Damian A. Tamburri – M 
Melvin E. Conway – M</t>
  </si>
  <si>
    <t>Kelly Blincoe	NZ
Giuseppe Valetto	UY
Daniela Damian	RO
Susan Prion	BE
Katie Anne Adamson	US
Marcelo Cataldo	CL
James D. Herbsleb	DK
Alexander Kraskov	SK
Harald StÃ¶gbauer	AT
Peter Grassberger	AT
Shyam R. Chidamber	LC
Chris F. Kemerer	AR
Mehwish Riaz	PK
EmÃ­lia Mendes	PT
Ewan Tempero	NZ
Damian A. Tamburri	IT
Philippe Kruchten	LU
Patricia Lago	CI
Hans van Vliet	NL
Tushar Sharma	IN
Pratibha Mishra	IN
Rohit Tiwari	OM
Carolyn Seaman	US
Damian A. Tamburri	IT
Rick Kazman	CA
Hamed Fahimi	IR
Tushar Sharma	IN
Marios Fragkoulis	GR
Diomidis Spinellis	GR
Tushar Sharma	IN
Diomidis Spinellis	GR
Fabio Palomba	IT
Gabriele Bavota	IT
Massimiliano Di Penta	IT
Fausto Fasano	IT
Rocco Oliveto	AR
Andrea De Lucia	BE
Bartosz Walter	DE
Francesca Arcelli Fontana	IT
Vincenzo Ferme	SI
Fabio Palomba	IT
Damian A. Tamburri	IT
Alexander Serebrenik	IL
Andy Zaidman	IL
Francesca Arcelli Fontana	IT
Rocco Oliveto	AR
Damian A. Tamburri	IT
Fabio Palomba	IT
Rick Kazman	CA
Damian A. Tamburri	IT
Rick Kazman	CA
Willemâ€Jan van den Heuvel	NL
Francesca Arcelli Fontana	IT
Valentina Lenarduzzi	AR
Riccardo Roveda	IT
Davide Taibi	DZ
Tushar Sharma	IN
D. Sculley	US
Gary D. Holt	US
Daniel Golovin	UA
Eugene Davydov	US
Todd Phillips	US
Dietmar Ebner	AT
Vinay Chaudhary	NP
Michael Young	US
Jeanâ€‘FranÃ§ois Crespo	unknown
Dan Dennison	US
Tushar Sharma	IN
Paramvir Singh	CA
Diomidis Spinellis	GR
Fabio Palomba	IT
Damian A. Tamburri	IT
Gemma Catolino	PY
Fabio Palomba	IT
Damian A. Tamburri	IT
Alexander Serebrenik	IL
Filomena Ferrucci	IT
Marcelo Cataldo	CL
James D. Herbsleb	DK
Kathleen M. Carley	IE
J. R. Quinlan	IE
Manuel De Stefano	BE
Emanuele Iannone	IT
Fabiano Pecorelli	IT
Damian A. Tamburri	IT
Melvin E. Conway	IE</t>
  </si>
  <si>
    <t>Kelly Blincoe - NZ - Oceania
Giuseppe Valetto - UY - South America
Daniela Damian - RO - Europe
Susan Prion - BE - Europe
Katie Anne Adamson - US - North America
Marcelo Cataldo - CL - South America
James D. Herbsleb - DK - Europe
Alexander Kraskov - SK - Europe
Harald Stögbauer - AT - Europe
Peter Grassberger - AT - Europe
Shyam R. Chidamber - LC - North America
Chris F. Kemerer - AR - South America
Mehwish Riaz - PK - Asia
Emília Mendes - PT - Europe
Ewan Tempero - NZ - Oceania
Damian A. Tamburri - IT - Europe
Philippe Kruchten - LU - Europe
Patricia Lago - CI - Africa
Hans van Vliet - NL - Europe
Tushar Sharma - IN - Asia
Pratibha Mishra - IN - Asia
Rohit Tiwari - OM - Asia
Carolyn Seaman - US - North America
Damian A. Tamburri - IT - Europe
Rick Kazman - CA - North America
Hamed Fahimi - IR - Asia
Tushar Sharma - IN - Asia
Marios Fragkoulis - GR - Europe
Diomidis Spinellis - GR - Europe
Tushar Sharma - IN - Asia
Diomidis Spinellis - GR - Europe
Fabio Palomba - IT - Europe
Gabriele Bavota - IT - Europe
Massimiliano Di Penta - IT - Europe
Fausto Fasano - IT - Europe
Rocco Oliveto - AR - South America
Andrea De Lucia - BE - Europe
Bartosz Walter - DE - Europe
Francesca Arcelli Fontana - IT - Europe
Vincenzo Ferme - SI - Europe
Fabio Palomba - IT - Europe
Damian A. Tamburri - IT - Europe
Alexander Serebrenik - IL - Asia
Andy Zaidman - IL - Asia
Francesca Arcelli Fontana - IT - Europe
Rocco Oliveto - AR - South America
Damian A. Tamburri - IT - Europe
Fabio Palomba - IT - Europe
Rick Kazman - CA - North America
Damian A. Tamburri - IT - Europe
Rick Kazman - CA - North America
Willem-Jan van den Heuvel - NL - Europe
Francesca Arcelli Fontana - IT - Europe
Valentina Lenarduzzi - AR - South America
Riccardo Roveda - IT - Europe
Davide Taibi - DZ - Africa
Tushar Sharma - IN - Asia
D. Sculley - US - North America
Gary D. Holt - US - North America
Daniel Golovin - UA - Europe
Eugene Davydov - US - North America
Todd Phillips - US - North America
Dietmar Ebner - AT - Europe
Vinay Chaudhary - NP - Asia
Michael Young - US - North America
Jean-François Crespo - unknown - Unknown
Dan Dennison - US - North America
Tushar Sharma - IN - Asia
Paramvir Singh - CA - North America
Diomidis Spinellis - GR - Europe
Fabio Palomba - IT - Europe
Damian A. Tamburri - IT - Europe
Gemma Catolino - PY - South America
Fabio Palomba - IT - Europe
Damian A. Tamburri - IT - Europe
Alexander Serebrenik - IL - Asia
Filomena Ferrucci - IT - Europe
Marcelo Cataldo - CL - South America
James D. Herbsleb - DK - Europe
Kathleen M. Carley - IE - Europe
J. R. Quinlan - IE - Europe
Manuel De Stefano - BE - Europe
Emanuele Iannone - IT - Europe
Fabiano Pecorelli - IT - Europe
Damian A. Tamburri - IT - Europe
Melvin E. Conway - IE - Europe</t>
  </si>
  <si>
    <t>Mehwish Riaz - PK - Asia
Tushar Sharma - IN - Asia
Pratibha Mishra - IN - Asia
Rohit Tiwari - OM - Asia
Hamed Fahimi - IR - Asia
Tushar Sharma - IN - Asia
Tushar Sharma - IN - Asia
Alexander Serebrenik - IL - Asia
Andy Zaidman - IL - Asia
Tushar Sharma - IN - Asia
Vinay Chaudhary - NP - Asia
Tushar Sharma - IN - Asia
Alexander Serebrenik - IL - Asia</t>
  </si>
  <si>
    <t>Kelly Blincoe - NZ - Oceania
Giuseppe Valetto - UY - South America
Daniela Damian - RO - Europe
Susan Prion - BE - Europe
Katie Anne Adamson - US - North America
Marcelo Cataldo - CL - South America
James D. Herbsleb - DK - Europe
Alexander Kraskov - SK - Europe
Harald Stögbauer - AT - Europe
Peter Grassberger - AT - Europe
Shyam R. Chidamber - LC - North America
Chris F. Kemerer - AR - South America
Emília Mendes - PT - Europe
Ewan Tempero - NZ - Oceania
Damian A. Tamburri - IT - Europe
Philippe Kruchten - LU - Europe
Patricia Lago - CI - Africa
Hans van Vliet - NL - Europe
Carolyn Seaman - US - North America
Damian A. Tamburri - IT - Europe
Rick Kazman - CA - North America
Marios Fragkoulis - GR - Europe
Diomidis Spinellis - GR - Europe
Diomidis Spinellis - GR - Europe
Fabio Palomba - IT - Europe
Gabriele Bavota - IT - Europe
Massimiliano Di Penta - IT - Europe
Fausto Fasano - IT - Europe
Rocco Oliveto - AR - South America
Andrea De Lucia - BE - Europe
Bartosz Walter - DE - Europe
Francesca Arcelli Fontana - IT - Europe
Vincenzo Ferme - SI - Europe
Fabio Palomba - IT - Europe
Damian A. Tamburri - IT - Europe
Francesca Arcelli Fontana - IT - Europe
Rocco Oliveto - AR - South America
Damian A. Tamburri - IT - Europe
Fabio Palomba - IT - Europe
Rick Kazman - CA - North America
Damian A. Tamburri - IT - Europe
Rick Kazman - CA - North America
Willem-Jan van den Heuvel - NL - Europe
Francesca Arcelli Fontana - IT - Europe
Valentina Lenarduzzi - AR - South America
Riccardo Roveda - IT - Europe
Davide Taibi - DZ - Africa
D. Sculley - US - North America
Gary D. Holt - US - North America
Daniel Golovin - UA - Europe
Eugene Davydov - US - North America
Todd Phillips - US - North America
Dietmar Ebner - AT - Europe
Michael Young - US - North America
Jean-François Crespo - unknown - Unknown
Dan Dennison - US - North America
Paramvir Singh - CA - North America
Diomidis Spinellis - GR - Europe
Fabio Palomba - IT - Europe
Damian A. Tamburri - IT - Europe
Gemma Catolino - PY - South America
Fabio Palomba - IT - Europe
Damian A. Tamburri - IT - Europe
Filomena Ferrucci - IT - Europe
Marcelo Cataldo - CL - South America
James D. Herbsleb - DK - Europe
Kathleen M. Carley - IE - Europe
J. R. Quinlan - IE - Europe
Manuel De Stefano - BE - Europe
Emanuele Iannone - IT - Europe
Fabiano Pecorelli - IT - Europe
Damian A. Tamburri - IT - Europe
Melvin E. Conway - IE - Europe</t>
  </si>
  <si>
    <t>0 from 2</t>
  </si>
  <si>
    <t>Reference_List30_ESEM2021_DolorsCostal</t>
  </si>
  <si>
    <t>72.73% male authors, (8)
27.27% female authors, (3)
0.00% authors of unknown gender.</t>
  </si>
  <si>
    <t xml:space="preserve">72.73% male authors, 
27.27% female authors, 
</t>
  </si>
  <si>
    <t>-</t>
  </si>
  <si>
    <t>Arlène Fink - W 
Jacob Cohen - M 
Barbara Kitchenham - W 
Tore Dybå - M 
Magne Jørgensen - M 
Marco Kuhrmann - M 
Daniel Méndez - M 
Maya Daneva - W 
Mikko Raatikainen - M 
Juha Tiihonen - M 
Tomi Männistö - M</t>
  </si>
  <si>
    <t>ArlÃ¨ne Fink	AT
Jacob Cohen	IL
Barbara Kitchenham	GB
Tore DybÃ¥	NO
Magne JÃ¸rgensen	DK
Marco Kuhrmann	DE
Daniel MÃ©ndez	UY
Maya Daneva	BG
Mikko Raatikainen	FI
Juha Tiihonen	FI
Tomi MÃ¤nnistÃ¶	FI</t>
  </si>
  <si>
    <t>Arlène Fink (AT) – Europe
Jacob Cohen (IL) – Asia
Barbara Kitchenham (GB) – Europe
Tore Dybå (NO) – Europe
Magne Jørgensen (DK) – Europe
Marco Kuhrmann (DE) – Europe
Daniel Méndez (UY) – South America
Maya Daneva (BG) – Europe
Mikko Raatikainen (FI) – Europe
Juha Tiihonen (FI) – Europe
Tomi Männistö (FI) – Europe</t>
  </si>
  <si>
    <t>Jacob Cohen (IL)</t>
  </si>
  <si>
    <t>Arlène Fink (AT)
Barbara Kitchenham (GB)
Tore Dybå (NO)
Magne Jørgensen (DK)
Marco Kuhrmann (DE)
Daniel Méndez (UY)
Maya Daneva (BG)
Mikko Raatikainen (FI)
Juha Tiihonen (FI)
Tomi Männistö (FI)</t>
  </si>
  <si>
    <t>0 from 0</t>
  </si>
  <si>
    <t>Reference_List5_ESEM2021_NasifImtiaz</t>
  </si>
  <si>
    <t>81.00% male authors, 
18.00% female authors, 
1.00% authors of unknown gender.</t>
  </si>
  <si>
    <t>100 total:
84 labeled as male: 84.0%
16 labeled as female: 16.0%</t>
  </si>
  <si>
    <t>Sasha Romanosky – should be M, citefairly labeled as F
Asankhaya Sharma – should be M, citefairly labeled as (X)
Li Sui – should be M, citefairly labeled as F</t>
  </si>
  <si>
    <t>Syed Zain R. Rizvi - M
Philip W. L. Fong - M
Jason Crampton - M
James Sellwood - M
Peter Mell - M
Karen Scarfone - F
Sasha Romanosky - M
Sepehr Amir-Mohammadian - M
Stephen Chong - M
Christian Skalka - M
Beatriz Sainz de Abajo - F
Agustín Llamas Ballestero - M
Tobias Lauinger - M
Abdelberi Chaabane - M
Sajjad Arshad - M
William Robertson - M
Christo Wilson - M
Engin Kirda - M
Steven P. Crain - M
Riivo Kikas - M
Georgios Gousios - M
Marlon Dumas - M
Dietmar Pfahl - M
Yaqin Zhou - F
Asankhaya Sharma - M
Alexandre Decan - M
Tom Mens - M
Eleni Constantinou - F
Aurélien Delaitre - M
Bertrand Stivalet - M
Paul E. Black - M
Vadim Okun - M
Athos Ribeiro - M
Terry S. Cohen - M
Rodrigo Elizalde Zapata - M
Raula Gaikovina Kula - F
Bodin Chinthanet - M
Takashi Ishio - M
Kenichi Matsumoto - M
Akinori Ihara - M
Susan C. Pearce - F
Josephine Lamp - F
Carlos E. Rubio‐Medrano - M
Ziming Zhao - M
Gail‐Joon Ahn - M
Inger Anne Tøndel - F
Martin Gilje Jaatun - M
Daniela S. Cruzes - F
Laurie Williams - F
Raula Gaikovina Kula - F
Daniel M. Germán - M
Ali Ouni - M
Takashi Ishio - M
Katsuro Inoue - M
Serena Elisa Ponta - F
Henrik Plate - M
Antonino Sabetta - M
Alexandre Decan - M
Tom Mens - M
Philippe Grosjean - M
Henrik Plate - M
Serena Elisa Ponta - F
Antonino Sabetta - M
Serena Elisa Ponta - F
Henrik Plate - M
Antonino Sabetta - M
Ivan Pashchenko - M
Henrik Plate - M
Serena Elisa Ponta - F
Antonino Sabetta - M
Fabio Massacci - M
Li Sui - M
Jens Dietrich - M
Amjed Tahir - M
George Fourtounis - M
Ivan Pashchenko - M
Duc‐Ly Vu - M
Fabio Massacci - M
Raula Gaikovina Kula - F
Daniel M. Germán - M
Ali Ouni - M
Takashi Ishio - M
Katsuro Inoue - M
Tobias Lauinger - M
Abdelberi Chaabane - M
Sajjad Arshad - M
William Robertson - M
Christo Wilson - M
Engin Kirda - M
Aurélien Delaitre - M
Bertrand Stivalet - M
Paul E. Black - M
Vadim Okun - M
Athos Ribeiro - M
Terry S. Cohen - M
Syed Zain R. Rizvi - M
Philip W. L. Fong - M
Jason Crampton - M
James Sellwood - M
Joseph Hejderup - M</t>
  </si>
  <si>
    <t>Syed Zain R. Rizvi	PK
Philip W. L. Fong	HK
Jason Crampton	IE
James Sellwood	NZ
Peter Mell	MY
Karen Scarfone	IT
Sasha Romanosky	US
Sepehr Amir-Mohammadian	unknown
Stephen Chong	SG
Christian Skalka	CZ
Beatriz Sainz de Abajo	MX
AgustÃ­n Llamas Ballestero	MX
Tobias Lauinger	DE
Abdelberi Chaabane	TN
Sajjad Arshad	SA
William Robertson	GB
Christo Wilson	US
Engin Kirda	LT
Steven P. Crain	US
Riivo Kikas	AO
Georgios Gousios	GR
Marlon Dumas	FR
Dietmar Pfahl	DE
Yaqin Zhou	CN
Asankhaya Sharma	IN
Alexandre Decan	VE
Tom Mens	GH
Eleni Constantinou	CY
AurÃ©lien Delaitre	FR
Bertrand Stivalet	MX
Paul E. Black	US
Vadim Okun	KE
Athos Ribeiro	PT
Terry S. Cohen	IL
Rodrigo Elizalde Zapata	EC
Raula Gaikovina Kula	PL
Bodin Chinthanet	JP
Takashi Ishio	JP
Kenichi Matsumoto	JP
Akinori Ihara	JP
Susan C. Pearce	AU
Josephine Lamp	US
Carlos E. Rubio-Medrano	US
Ziming Zhao	CN
Gail-Joon Ahn	KR
Inger Anne TÃ¸ndel	NO
Martin Gilje Jaatun	NO
Daniela S. Cruzes	BR
Laurie Williams	US
Raula Gaikovina Kula	PL
Daniel M. GermÃ¡n	DO
Ali Ouni	TN
Takashi Ishio	JP
Katsuro Inoue	JP
Serena Elisa Ponta	RO
Henrik Plate	DE
Antonino Sabetta	IT
Alexandre Decan	VE
Tom Mens	GH
Philippe Grosjean	FR
Henrik Plate	DE
Serena Elisa Ponta	RO
Antonino Sabetta	IT
Serena Elisa Ponta	RO
Henrik Plate	DE
Antonino Sabetta	IT
Ivan Pashchenko	UA
Henrik Plate	DE
Serena Elisa Ponta	RO
Antonino Sabetta	IT
Fabio Massacci	IT
Li Sui	SG
Jens Dietrich	DE
Amjed Tahir	PK
George Fourtounis	GR
Ivan Pashchenko	UA
Duc-Ly Vu	unknown
Fabio Massacci	IT
Raula Gaikovina Kula	PL
Daniel M. GermÃ¡n	DO
Ali Ouni	TN
Takashi Ishio	JP
Katsuro Inoue	JP
Tobias Lauinger	DE
Abdelberi Chaabane	TN
Sajjad Arshad	SA
William Robertson	GB
Christo Wilson	US
Engin Kirda	LT
AurÃ©lien Delaitre	FR
Bertrand Stivalet	MX
Paul E. Black	US
Vadim Okun	KE
Athos Ribeiro	PT
Terry S. Cohen	IL
Syed Zain R. Rizvi	PK
Philip W. L. Fong	HK
Jason Crampton	IE
James Sellwood	NZ
Joseph Hejderup	SE</t>
  </si>
  <si>
    <t>Syed Zain R. Rizvi - PK - Asia
Philip W. L. Fong - HK - Asia
Jason Crampton - IE - Europe
James Sellwood - NZ - Oceania
Peter Mell - MY - Asia
Karen Scarfone - IT - Europe
Sasha Romanosky - US - North America
Sepehr Amir-Mohammadian - unknown - Unknown
Stephen Chong - SG - Asia
Christian Skalka - CZ - Europe
Beatriz Sainz de Abajo - MX - North America
Agustín Llamas Ballestero - MX - North America
Tobias Lauinger - DE - Europe
Abdelberi Chaabane - TN - Africa
Sajjad Arshad - SA - Asia
William Robertson - GB - Europe
Christo Wilson - US - North America
Engin Kirda - LT - Europe
Steven P. Crain - US - North America
Riivo Kikas - AO - Africa
Georgios Gousios - GR - Europe
Marlon Dumas - FR - Europe
Dietmar Pfahl - DE - Europe
Yaqin Zhou - CN - Asia
Asankhaya Sharma - IN - Asia
Alexandre Decan - VE - South America
Tom Mens - GH - Africa
Eleni Constantinou - CY - Asia
Aurélien Delaitre - FR - Europe
Bertrand Stivalet - MX - North America
Paul E. Black - US - North America
Vadim Okun - KE - Africa
Athos Ribeiro - PT - Europe
Terry S. Cohen - IL - Asia
Rodrigo Elizalde Zapata - EC - South America
Raula Gaikovina Kula - PL - Europe
Bodin Chinthanet - JP - Asia
Takashi Ishio - JP - Asia
Kenichi Matsumoto - JP - Asia
Akinori Ihara - JP - Asia
Susan C. Pearce - AU - Oceania
Josephine Lamp - US - North America
Carlos E. Rubio-Medrano - US - North America
Ziming Zhao - CN - Asia
Gail-Joon Ahn - KR - Asia
Inger Anne Tøndel - NO - Europe
Martin Gilje Jaatun - NO - Europe
Daniela S. Cruzes - BR - South America
Laurie Williams - US - North America
Raula Gaikovina Kula - PL - Europe
Daniel M. Germán - DO - North America
Ali Ouni - TN - Africa
Takashi Ishio - JP - Asia
Katsuro Inoue - JP - Asia
Serena Elisa Ponta - RO - Europe
Henrik Plate - DE - Europe
Antonino Sabetta - IT - Europe
Alexandre Decan - VE - South America
Tom Mens - GH - Africa
Philippe Grosjean - FR - Europe
Henrik Plate - DE - Europe
Serena Elisa Ponta - RO - Europe
Antonino Sabetta - IT - Europe
Serena Elisa Ponta - RO - Europe
Henrik Plate - DE - Europe
Antonino Sabetta - IT - Europe
Ivan Pashchenko - UA - Europe
Henrik Plate - DE - Europe
Serena Elisa Ponta - RO - Europe
Antonino Sabetta - IT - Europe
Fabio Massacci - IT - Europe
Li Sui - SG - Asia
Jens Dietrich - DE - Europe
Amjed Tahir - PK - Asia
George Fourtounis - GR - Europe
Ivan Pashchenko - UA - Europe
Duc-Ly Vu - unknown - Unknown
Fabio Massacci - IT - Europe
Raula Gaikovina Kula - PL - Europe
Daniel M. Germán - DO - North America
Ali Ouni - TN - Africa
Takashi Ishio - JP - Asia
Katsuro Inoue - JP - Asia
Tobias Lauinger - DE - Europe
Abdelberi Chaabane - TN - Africa
Sajjad Arshad - SA - Asia
William Robertson - GB - Europe
Christo Wilson - US - North America
Engin Kirda - LT - Europe
Aurélien Delaitre - FR - Europe
Bertrand Stivalet - MX - North America
Paul E. Black - US - North America
Vadim Okun - KE - Africa
Athos Ribeiro - PT - Europe
Terry S. Cohen - IL - Asia
Syed Zain R. Rizvi - PK - Asia
Philip W. L. Fong - HK - Asia
Jason Crampton - IE - Europe
James Sellwood - NZ - Oceania
Joseph Hejderup - SE - Europe</t>
  </si>
  <si>
    <t>Syed Zain R. Rizvi - PK - Asia
Philip W. L. Fong - HK - Asia
Peter Mell - MY - Asia
Stephen Chong - SG - Asia
Sajjad Arshad - SA - Asia
Yaqin Zhou - CN - Asia
Asankhaya Sharma - IN - Asia
Eleni Constantinou - CY - Asia
Terry S. Cohen - IL - Asia
Bodin Chinthanet - JP - Asia
Takashi Ishio - JP - Asia
Kenichi Matsumoto - JP - Asia
Akinori Ihara - JP - Asia
Ziming Zhao - CN - Asia
Gail-Joon Ahn - KR - Asia
Takashi Ishio - JP - Asia
Katsuro Inoue - JP - Asia
Li Sui - SG - Asia
Amjed Tahir - PK - Asia
Takashi Ishio - JP - Asia
Katsuro Inoue - JP - Asia
Sajjad Arshad - SA - Asia
Terry S. Cohen - IL - Asia
Syed Zain R. Rizvi - PK - Asia
Philip W. L. Fong - HK - Asia</t>
  </si>
  <si>
    <t>Jason Crampton - IE - Europe
James Sellwood - NZ - Oceania
Karen Scarfone - IT - Europe
Sasha Romanosky - US - North America
Sepehr Amir-Mohammadian - unknown - Unknown
Christian Skalka - CZ - Europe
Beatriz Sainz de Abajo - MX - North America
Agustín Llamas Ballestero - MX - North America
Tobias Lauinger - DE - Europe
Abdelberi Chaabane - TN - Africa
William Robertson - GB - Europe
Christo Wilson - US - North America
Engin Kirda - LT - Europe
Steven P. Crain - US - North America
Riivo Kikas - AO - Africa
Georgios Gousios - GR - Europe
Marlon Dumas - FR - Europe
Dietmar Pfahl - DE - Europe
Alexandre Decan - VE - South America
Tom Mens - GH - Africa
Aurélien Delaitre - FR - Europe
Bertrand Stivalet - MX - North America
Paul E. Black - US - North America
Vadim Okun - KE - Africa
Athos Ribeiro - PT - Europe
Rodrigo Elizalde Zapata - EC - South America
Raula Gaikovina Kula - PL - Europe
Susan C. Pearce - AU - Oceania
Josephine Lamp - US - North America
Carlos E. Rubio-Medrano - US - North America
Inger Anne Tøndel - NO - Europe
Martin Gilje Jaatun - NO - Europe
Daniela S. Cruzes - BR - South America
Laurie Williams - US - North America
Raula Gaikovina Kula - PL - Europe
Daniel M. Germán - DO - North America
Ali Ouni - TN - Africa
Serena Elisa Ponta - RO - Europe
Henrik Plate - DE - Europe
Antonino Sabetta - IT - Europe
Alexandre Decan - VE - South America
Tom Mens - GH - Africa
Philippe Grosjean - FR - Europe
Henrik Plate - DE - Europe
Serena Elisa Ponta - RO - Europe
Antonino Sabetta - IT - Europe
Serena Elisa Ponta - RO - Europe
Henrik Plate - DE - Europe
Antonino Sabetta - IT - Europe
Ivan Pashchenko - UA - Europe
Henrik Plate - DE - Europe
Serena Elisa Ponta - RO - Europe
Antonino Sabetta - IT - Europe
Fabio Massacci - IT - Europe
Jens Dietrich - DE - Europe
George Fourtounis - GR - Europe
Ivan Pashchenko - UA - Europe
Duc-Ly Vu - unknown - Unknown
Fabio Massacci - IT - Europe
Raula Gaikovina Kula - PL - Europe
Daniel M. Germán - DO - North America
Ali Ouni - TN - Africa
Tobias Lauinger - DE - Europe
Abdelberi Chaabane - TN - Africa
William Robertson - GB - Europe
Christo Wilson - US - North America
Engin Kirda - LT - Europe
Aurélien Delaitre - FR - Europe
Bertrand Stivalet - MX - North America
Paul E. Black - US - North America
Vadim Okun - KE - Africa
Athos Ribeiro - PT - Europe
Jason Crampton - IE - Europe
James Sellwood - NZ - Oceania
Joseph Hejderup - SE - Europe</t>
  </si>
  <si>
    <t xml:space="preserve">
Asankhaya Sharma
Li Sui</t>
  </si>
  <si>
    <t>2 from 3</t>
  </si>
  <si>
    <t>Reference (n = 18)</t>
  </si>
  <si>
    <t>Reference_List1_EASE2020_Anh_Nguyen-Duc.bib</t>
  </si>
  <si>
    <t>80.60% male authors, 
19.40% female authors, 
0.00% authors of unknown gender.</t>
  </si>
  <si>
    <t>Men: 85.07%
Women: 14.93%</t>
  </si>
  <si>
    <t>Marin Vuković - labeled as W but is a M (twice)
Jinghui Cheng - labeled as W but is a M</t>
  </si>
  <si>
    <t xml:space="preserve">David Poole - M 
Alan K. Mackworth - M 
Randy Goebel - M 
Anselm L. Strauss - M
Juliet Corbin - W
Anselm L. Strauss - M
Juliet Corbin - W
Richard E. Boyatzis - M
Brooks - M
Stuart Russell - M
Peter Norvig - M 
Per Runeson - M 
Martin Höst - M 
Miryung Kim - W
Thomas Zimmermann - M
Robert DeLine - M
Andrew Begel - M 
Soroosh Nalchigar - M
Eric Yu - M 
Dennis M. Steininger - M 
Neoklis Polyzotis - M 
Sudip Roy - M 
Steven Euijong Whang - M 
Martin Zinkevich - M 
Zoubin Ghahramani - M 
Max Welling - M 
Corinna Cortes - W 
Neil D. Lawrence - M 
Kilian Q. Weinberger - M
Lucy Ellen Lwakatare - W 
Aiswarya Raj - W 
Jan Bosch - M 
Helena Holmström Olsson - W 
Ivica Crnković - M 
Krishna Gade - M 
Sahin Cem Geyik - M 
Krishnaram Kenthapadi - M
Varun Mithal - M 
Ankur Taly - M 
Ivar Jacobson - M 
Harold W. Lawson - M 
Pan-Wei Ng - M 
Paul E. McMahon - M
Michael Goedicke - M
Ivar Jacobson - M
Harold W. Lawson - M
Pan-Wei Ng - M 
Paul E. McMahon - M 
Michael Goedicke - M 
Hrvoje Belani - M 
Marin Vuković - M
Željka Car - W 
Wendy Eloit - W 
Kai‐Kristian Kemell - M 
Arthur Evensen - M 
Xiaofeng Wang - M 
Juhani Risku - M 
Anh Nguyen‐Duc - M 
Pekka Abrahamsson - M 
Hrvoje Belani - M 
Marin Vuković - M
Željka Car - W 
Foutse Khomh - M 
Bram Adams - M 
Jinghui Cheng - M
Marios Fokaefs - M 
Giuliano Antoniol - M
</t>
  </si>
  <si>
    <t>David Poole	US
Alan K. Mackworth	GB
Randy Goebel	US
Anselm L. Strauss	NA
Juliet Corbin	US
Anselm L. Strauss	NA
Juliet Corbin	US
Richard E. Boyatzis	AU
Brooks	US
Stuart Russell	GB
Peter Norvig	DK
Per Runeson	SE
Martin HÃ¶st	SE
Miryung Kim	KR
Thomas Zimmermann	DE
Robert DeLine	CA
Andrew Begel	FR
Soroosh Nalchigar	SE
Eric Yu	HK
Dennis M. Steininger	AT
Neoklis Polyzotis	CA
Sudip Roy	CA
Steven Euijong Whang	KR
Martin Zinkevich	BY
Zoubin Ghahramani	IR
Max Welling	FI
Corinna Cortes	CL
Neil D. Lawrence	JM
Kilian Q. Weinberger	AT
Lucy Ellen Lwakatare	TZ
Aiswarya Raj	IN
Jan Bosch	NL
Helena HolmstrÃ¶m Olsson	SE
Ivica CrnkoviÄ‡	HR
Krishna Gade	DK
Sahin Cem Geyik	TR
Krishnaram Kenthapadi	US
Varun Mithal	IN
Ankur Taly	VE
Ivar Jacobson	US
Harold W. Lawson	US
Pan-Wei Ng	HK
Paul E. McMahon	IE
Michael Goedicke	DE
Ivar Jacobson	US
Harold W. Lawson	US
Pan-Wei Ng	HK
Paul E. McMahon	IE
Michael Goedicke	DE
Hrvoje Belani	AE
Marin VukoviÄ‡	HR
Å½eljka Car	HR
Wendy Eloit	UG
Kai-Kristian Kemell	FI
Arthur Evensen	NO
Xiaofeng Wang	CN
Juhani Risku	FI
Anh Nguyen-Duc	VN
Pekka Abrahamsson	SE
Hrvoje Belani	AE
Marin VukoviÄ‡	HR
Å½eljka Car	HR
Foutse Khomh	CA
Bram Adams	US
Jinghui Cheng	HK
Marios Fokaefs	GR
Giuliano Antoniol	AT</t>
  </si>
  <si>
    <t>David Poole — US — North America
Alan K. Mackworth — GB — Europe
Randy Goebel — US — North America
Anselm L. Strauss — NA — Unknown
Juliet Corbin — US — North America
Anselm L. Strauss — NA — Unknown
Juliet Corbin — US — North America
Richard E. Boyatzis — AU — Oceania
Brooks — US — North America
Stuart Russell — GB — Europe
Peter Norvig — DK — Europe
Per Runeson — SE — Europe
Martin Höst — SE — Europe
Miryung Kim — KR — Asia
Thomas Zimmermann — DE — Europe
Robert DeLine — CA — North America
Andrew Begel — FR — Europe
Soroosh Nalchigar — SE — Europe
Eric Yu — HK — Asia
Dennis M. Steininger — AT — Europe
Neoklis Polyzotis — CA — North America
Sudip Roy — CA — North America
Steven Euijong Whang — KR — Asia
Martin Zinkevich — BY — Europe
Zoubin Ghahramani — IR — Asia
Max Welling — FI — Europe
Corinna Cortes — CL — South America
Neil D. Lawrence — JM — North America
Kilian Q. Weinberger — AT — Europe
Lucy Ellen Lwakatare — TZ — Africa
Aiswarya Raj — IN — Asia
Jan Bosch — NL — Europe
Helena Holmström Olsson — SE — Europe
Ivica Crnković — HR — Europe
Krishna Gade — DK — Europe
Sahin Cem Geyik — TR — Asia
Krishnaram Kenthapadi — US — North America
Varun Mithal — IN — Asia
Ankur Taly — VE — South America
Ivar Jacobson — US — North America
Harold W. Lawson — US — North America
Pan-Wei Ng — HK — Asia
Paul E. McMahon — IE — Europe
Michael Goedicke — DE — Europe
Ivar Jacobson — US — North America
Harold W. Lawson — US — North America
Pan-Wei Ng — HK — Asia
Paul E. McMahon — IE — Europe
Michael Goedicke — DE — Europe
Hrvoje Belani — AE — Asia
Marin Vuković — HR — Europe
Željka Car — HR — Europe
Wendy Eloit — UG — Africa
Kai-Kristian Kemell — FI — Europe
Arthur Evensen — NO — Europe
Xiaofeng Wang — CN — Asia
Juhani Risku — FI — Europe
Anh Nguyen-Duc — VN — Asia
Pekka Abrahamsson — SE — Europe
Hrvoje Belani — AE — Asia
Marin Vuković — HR — Europe
Željka Car — HR — Europe
Foutse Khomh — CA — North America
Bram Adams — US — North America
Jinghui Cheng — HK — Asia
Marios Fokaefs — GR — Europe
Giuliano Antoniol — AT — Europe</t>
  </si>
  <si>
    <t>Miryung Kim — KR — Asia
Eric Yu — HK — Asia
Steven Euijong Whang — KR — Asia
Zoubin Ghahramani — IR — Asia
Aiswarya Raj — IN — Asia
Sahin Cem Geyik — TR — Asia
Varun Mithal — IN — Asia
Pan-Wei Ng — HK — Asia
Pan-Wei Ng — HK — Asia
Hrvoje Belani — AE — Asia
Xiaofeng Wang — CN — Asia
Anh Nguyen-Duc — VN — Asia
Hrvoje Belani — AE — Asia
Jinghui Cheng — HK — Asia</t>
  </si>
  <si>
    <t>David Poole — US — North America
Alan K. Mackworth — GB — Europe
Randy Goebel — US — North America
Anselm L. Strauss — NA — Unknown
Juliet Corbin — US — North America
Anselm L. Strauss — NA — Unknown
Juliet Corbin — US — North America
Richard E. Boyatzis — AU — Oceania
Brooks — US — North America
Stuart Russell — GB — Europe
Peter Norvig — DK — Europe
Per Runeson — SE — Europe
Martin Höst — SE — Europe
Thomas Zimmermann — DE — Europe
Robert DeLine — CA — North America
Andrew Begel — FR — Europe
Soroosh Nalchigar — SE — Europe
Dennis M. Steininger — AT — Europe
Neoklis Polyzotis — CA — North America
Sudip Roy — CA — North America
Martin Zinkevich — BY — Europe
Max Welling — FI — Europe
Corinna Cortes — CL — South America
Neil D. Lawrence — JM — North America
Kilian Q. Weinberger — AT — Europe
Lucy Ellen Lwakatare — TZ — Africa
Jan Bosch — NL — Europe
Helena Holmström Olsson — SE — Europe
Ivica Crnković — HR — Europe
Krishna Gade — DK — Europe
Krishnaram Kenthapadi — US — North America
Ankur Taly — VE — South America
Ivar Jacobson — US — North America
Harold W. Lawson — US — North America
Paul E. McMahon — IE — Europe
Michael Goedicke — DE — Europe
Ivar Jacobson — US — North America
Harold W. Lawson — US — North America
Paul E. McMahon — IE — Europe
Michael Goedicke — DE — Europe
Marin Vuković — HR — Europe
Željka Car — HR — Europe
Wendy Eloit — UG — Africa
Kai-Kristian Kemell — FI — Europe
Arthur Evensen — NO — Europe
Juhani Risku — FI — Europe
Pekka Abrahamsson — SE — Europe
Marin Vuković — HR — Europe
Željka Car — HR — Europe
Foutse Khomh — CA — North America
Bram Adams — US — North America
Marios Fokaefs — GR — Europe
Giuliano Antoniol — AT — Europe</t>
  </si>
  <si>
    <t>Jinghui Cheng</t>
  </si>
  <si>
    <t>Reference_List1_EASE2021_John_Ahlgren.bib</t>
  </si>
  <si>
    <t>(178) 78.07% male authors, 
(46) 20.18% female authors, 
(4) 1.75% authors of unknown gender.</t>
  </si>
  <si>
    <t>Men (M): 186
Women (W): 42
Total: 228
Men: 81.58%
Women: 18.42%</t>
  </si>
  <si>
    <t xml:space="preserve">Hong Zhu - W should be M 
Yue Jia - W should be M 
Yunyi Jia - X but is M 
G. Flucke - X but is M 
Yue Jia - W should be M 
J.P.C. Kleijnen - X but is M 
Yue Jia - W should be M 
Taijin Tei - M but is actually W 
И. В. Зорин (Ilya Zorin) - X but is M 
Yue Jia - W should be M 
Ting Su - W but is M 
Sirui Yao - M but is W 
</t>
  </si>
  <si>
    <t xml:space="preserve">Zulkifli Hasan - M 
David Theo Goldberg - M 
David M. Nichols - M 
Brian Oki - M 
Douglas B. Terry - M 
Saswat Anand - M 
Edmund Burke - M 
Tsong Yueh Chen - M 
John A. Clark - M 
Myra B. Cohen - W 
Wolfgang Grieskamp - M 
Mark Harman - M 
Mary Jean Harrold - W 
Phil McMinn - M 
Antonia Bertolino - W 
J. Jenny Li - W 
Hong Zhu - M 
Mark Harman - M 
Yue Jia - M 
William B. Langdon - M 
Justyna Petke - W 
Iman Hemati Moghadam - M 
Shin Yoo - M 
Fan Wu - M 
Koen Claessen - M 
John Hughes - M 
Sergio Terzi - M 
Sergio Cavalieri - M 
Christian Krupitzer - M 
Felix Roth - M 
Sebastian VanSyckel - M 
Gregor Schiele - M 
Christian Becker - M 
Shin Yoo - M 
Mark Harman - M 
Mark Harman - M 
Yunyi Jia - M 
Jens Krinke - M 
William B. Langdon - M 
Justyna Petke - W 
Yujie Zhang - W 
Cu Nguyen - M 
Simon Miles - M 
Anna Perini - W 
Paolo Tonella - M 
Mark Harman - M 
G. Flucke - M 
Gregory L. Johnson - M 
Clayton L. Hanson - M 
Stuart P. Hardegree - M 
Edward B. Ballard - M 
Georgios N. Yannakakis - M 
Lucian Buşoniu - M 
Robert Babuška - M 
Bart De Schutter - M 
Sabrine Kalboussi - W 
Slim Bechikh - M 
Marouane Kessentini - M 
Lamjed Ben Saïd - M 
Saif Al-Sultan - M 
Moath Muayad Al-Doori - M 
Ali H. Al‐Bayatti - M 
H.S.M. Zedan - M 
Martin Ward - M 
Yue Jia - M 
Mark Harman - M 
J.P.C. Kleijnen - M 
Antonia Bertolino - W 
Mark Harman - M 
Jinsung Yoon - M 
Ahmed M. Alaa - M 
Scott Hu - M 
Mihaela van der Schaar - W 
Yoni Halpern - M 
Steven Horng - M 
David Sontag - M 
Michael Grieves - M 
John Vickers - M 
Saul Blecker - M 
Stuart D. Katz - M 
Leora I. Horwitz - W 
Gilad J. Kuperman - M 
Hannah Park - W 
Alex Gold - M 
David Sontag - M 
Margaret‐Anne Storey - W 
Alexey Zagalsky - M 
Mostafa Haghi - M 
Kerstin Thurow - W 
Regina Stoll - W 
Justyna Petke - W 
Sæmundur Ó. Haraldsson - M 
Mark Harman - M 
William B. Langdon - M 
David R. White - M 
John R. Woodward - M 
Brent Smith - M 
Greg Linden - M 
Maya Rotmensch - W 
Yoni Halpern - M 
Abdulhakim Tlimat - M 
Steven Horng - M 
David Sontag - M 
Magdalini Eirinaki - W 
Jerry Gao - M 
Iraklis Varlamis - M 
Konstantinos Tserpes - M 
Koen Bruynseels - M 
Filippo Santoni de Sio - M 
Jeroen van den Hoven - M 
Bryan Lim - M 
Mihaela van der Schaar - W 
John D. Sterman - M 
David Rohde - M 
Stephen Bonner - M 
Travis Dunlop - M 
Flavian Vasile - M 
Alexandros Karatzoglou - M 
Nadia Alshahwan - W 
Xinbo Gao - M 
Mark Harman - M 
Yue Jia - M 
Ke Mao - M 
Alexander Mols - M 
Taijin Tei - W 
И. В. Зорин (Ilya Zorin) - M 
Weiran Shen - M 
Pingzhong Tang - M 
Song Zuo - M 
Tomáš Mikolov - M 
Kai Chen - M 
Greg S. Corrado - M 
Jay B. Dean - M 
Alexandru Marginean - M 
Johannes Bader - M 
Satish Chandra - M 
Mark Harman - M 
Yue Jia - M 
Ke Mao - M 
Alexander Mols - M 
Andrew Scott - M 
Silvia Milano - W 
Mariarosaria Taddeo - W 
Luciano Floridi - M 
Barbara Rita Barricelli - W 
Elena Casiraghi - W 
Daniela Fogli - W 
Trent Kyono - M 
Fiona J. Gilbert - W 
Mihaela van der Schaar - W 
Danijar Hafner - M 
Timothy Lillicrap - M 
Jimmy Ba - M 
Mohammad Norouzi - M 
Claire Le Goues - W 
Michael Pradel - M 
Abhik Roychoudhury - M 
Yan Zheng - M 
Xiaofei Xie - M 
Ting Su - M 
Lei Ma - M 
Jianye Hao - M 
Zhaopeng Meng - M 
Yang Liu - M 
Ruimin Shen - M 
Yingfeng Chen - M 
Changjie Fan - M 
Adil Rasheed - M 
Omer San - M 
Trond Kvamsdal - M 
George Lakoff - M 
Mark L. Johnson - M 
Wenjie Wang - M 
Fuli Feng - M 
Xiangnan He - M 
Hanwang Zhang - M 
Tat‐Seng Chua - M 
Shuo Zhang - M 
Krisztian Balog - M 
Julian Schrittwieser - M 
Ioannis Antonoglou - M 
Thomas Hubert - M 
Karen Simonyan - W 
Laurent Sifre - M 
Simon Schmitt - M 
Arthur Guez - M 
Edward Lockhart - M 
Demis Hassabis - M 
Thore Graepel - M 
Timothy Lillicrap - M 
David Silver - M 
Sirui Yao - W 
Yoni Halpern - M 
Nithum Thain - W 
Xuezhi Wang - M 
Kang Lee - M 
Flavien Prost - M 
Ed H. - M 
Jilin Chen - M 
Alex Beutel - M 
Péter Bauer - M 
Björn Stevens - M 
Wilco Hazeleger - M 
John Ahlgren - M 
Maria Eugenia Berezin - W 
Kinga Bojarczuk - W 
Elena Dulskyte - W 
Inna Dvortsova - W 
Johann George - M 
Natalija Gucevska - W 
Mark Harman - M 
María Lomelí - W 
Erik Meijer - M 
Silvia Sapora - W 
Justin Spahr-Summers - M 
Vikas Bavane Prof. RajratnaKharat - M 
Benjamin Letham - M 
Eytan Bakshy - M 
Cristiano Calcagno - M 
Dino Distefano - M 
Jérémy Dubreil - M 
Dominik Gabi - M 
Pieter Hooimeijer - M 
Luca Martino - M 
Peter W. O’Hearn - M 
Irene Papakonstantinou - W 
Jim Purbrick - M 
Dulma Rodriguez - W 
</t>
  </si>
  <si>
    <t>Zulkifli Hasan	MY
David Theo Goldberg	US
David M. Nichols	US
Brian Oki	JP
Douglas B. Terry	JM
Saswat Anand	IN
Edmund Burke	DM
Tsong Yueh Chen	TW
John A. Clark	US
Myra B. Cohen	IL
Wolfgang Grieskamp	DE
Mark Harman	US
Mary Jean Harrold	US
Phil McMinn	US
Antonia Bertolino	IT
J. Jenny Li	CN
Hong Zhu	SG
Mark Harman	US
Yue Jia	MY
William B. Langdon	US
Justyna Petke	DE
Iman Hemati Moghadam	IR
Shin Yoo	KR
Fan Wu	TW
Koen Claessen	NL
John Hughes	US
Sergio Terzi	TR
Sergio Cavalieri	IT
Christian Krupitzer	US
Felix Roth	CH
Sebastian VanSyckel	US
Gregor Schiele	DE
Christian Becker	DE
Shin Yoo	KR
Mark Harman	US
Mark Harman	US
Yunyi Jia	CN
Jens Krinke	DE
William B. Langdon	US
Justyna Petke	DE
Yujie Zhang	CN
Cu Nguyen	VN
Simon Miles	US
Anna Perini	IT
Paolo Tonella	IT
Mark Harman	US
G. Flucke	DE
Gregory L. Johnson	US
Clayton L. Hanson	US
Stuart P. Hardegree	US
Edward B. Ballard	US
Georgios N. Yannakakis	GR
Lucian BuÅŸoniu	unknown
Robert BabuÅ¡ka	CZ
Bart De Schutter	NL
Sabrine Kalboussi	TN
Slim Bechikh	TN
Marouane Kessentini	TN
Lamjed Ben SaÃ¯d	CM
Saif Al-Sultan	KW
Moath Muayad Al-Doori	IQ
Ali H. Alâ€Bayatti	IR
H.S.M. Zedan	SY
Martin Ward	IE
Yue Jia	MY
Mark Harman	US
J.P.C. Kleijnen	NL
Antonia Bertolino	IT
Mark Harman	US
Jinsung Yoon	KR
Ahmed M. Alaa	BD
Scott Hu	CN
Mihaela van der Schaar	AT
Yoni Halpern	US
Steven Horng	TW
David Sontag	US
Michael Grieves	GB
John Vickers	US
Saul Blecker	US
Stuart D. Katz	IL
Leora I. Horwitz	US
Gilad J. Kuperman	IL
Hannah Park	KR
Alex Gold	US
David Sontag	US
Margaretâ€Anne Storey	unknown
Alexey Zagalsky	IL
Mostafa Haghi	IR
Kerstin Thurow	DE
Regina Stoll	DE
Justyna Petke	DE
SÃ¦mundur Ã“. Haraldsson	IS
Mark Harman	US
William B. Langdon	US
David R. White	US
John R. Woodward	US
Brent Smith	US
Greg Linden	FI
Maya Rotmensch	IL
Yoni Halpern	US
Abdulhakim Tlimat	SY
Steven Horng	TW
David Sontag	US
Magdalini Eirinaki	GR
Jerry Gao	CA
Iraklis Varlamis	GR
Konstantinos Tserpes	GR
Koen Bruynseels	BE
Filippo Santoni de Sio	IT
Jeroen van den Hoven	NL
Bryan Lim	TW
Mihaela van der Schaar	AT
John D. Sterman	FI
David Rohde	US
Stephen Bonner	US
Travis Dunlop	NZ
Flavian Vasile	RO
Alexandros Karatzoglou	GR
Nadia Alshahwan	JO
Xinbo Gao	CN
Mark Harman	US
Yue Jia	MY
Ke Mao	CN
Alexander Mols	NL
Taijin Tei	GH
Ð˜. Ð’. Ð-Ð¾Ñ€Ð¸Ð½ (Ilya Zorin)	RU
Weiran Shen	CN
Pingzhong Tang	HK
Song Zuo	CN
TomÃ¡Å¡ Mikolov	CZ
Kai Chen	MY
Greg S. Corrado	IT
Jay B. Dean	US
Alexandru Marginean	RO
Johannes Bader	KW
Satish Chandra	OM
Mark Harman	US
Yue Jia	MY
Ke Mao	CN
Alexander Mols	NL
Andrew Scott	US
Silvia Milano	DZ
Mariarosaria Taddeo	IT
Luciano Floridi	IT
Barbara Rita Barricelli	IT
Elena Casiraghi	IT
Daniela Fogli	IT
Trent Kyono	JP
Fiona J. Gilbert	US
Mihaela van der Schaar	AT
Danijar Hafner	AT
Timothy Lillicrap	AU
Jimmy Ba	SN
Mohammad Norouzi	IR
Claire Le Goues	FR
Michael Pradel	FR
Abhik Roychoudhury	IN
Yan Zheng	MY
Xiaofei Xie	CN
Ting Su	LC
Lei Ma	MO
Jianye Hao	CN
Zhaopeng Meng	CN
Yang Liu	LC
Ruimin Shen	CN
Yingfeng Chen	TW
Changjie Fan	CN
Adil Rasheed	PK
Omer San	PH
Trond Kvamsdal	NO
George Lakoff	US
Mark L. Johnson	US
Wenjie Wang	CN
Fuli Feng	CN
Xiangnan He	CN
Hanwang Zhang	CN
Tat-Seng Chua	LC
Shuo Zhang	CN
Krisztian Balog	HU
Julian Schrittwieser	AT
Ioannis Antonoglou	GR
Thomas Hubert	US
Karen Simonyan	AM
Laurent Sifre	PR
Simon Schmitt	DE
Arthur Guez	IL
Edward Lockhart	US
Demis Hassabis	CY
Thore Graepel	IE
Timothy Lillicrap	AU
David Silver	NG
Sirui Yao	CI
Yoni Halpern	US
Nithum Thain	GB
Xuezhi Wang	CN
Kang Lee	MY
Flavien Prost	FR
Ed H.	PE
Jilin Chen	TW
Alex Beutel	DE
PÃ©ter Bauer	AT
BjÃ¶rn Stevens	US
Wilco Hazeleger	NL
John Ahlgren	SE
Maria Eugenia Berezin	UA
Kinga Bojarczuk	PL
Elena Dulskyte	LT
Inna Dvortsova	LV
Johann George	RO
Natalija Gucevska	CH
Mark Harman	US
MarÃ­a LomelÃ­	MX
Erik Meijer	NL
Silvia Sapora	IT
Justin Spahr-Summers	US
Vikas Bavane Prof. RajratnaKharat	IN
Benjamin Letham	NZ
Eytan Bakshy	IL
Cristiano Calcagno	UY
Dino Distefano	IT
JÃ©rÃ©my Dubreil	FR
Dominik Gabi	RO
Pieter Hooimeijer	NL
Luca Martino	IT
Peter W. Oâ€™Hearn	NZ
Irene Papakonstantinou	GR
Jim Purbrick	GB
Dulma Rodriguez	PA</t>
  </si>
  <si>
    <t>Zulkifli Hasan — MY — Asia
David Theo Goldberg — US — North America
David M. Nichols — US — North America
Brian Oki — JP — Asia
Douglas B. Terry — JM — North America
Saswat Anand — IN — Asia
Edmund Burke — DM — North America
Tsong Yueh Chen — TW — Asia
John A. Clark — US — North America
Myra B. Cohen — IL — Asia
Wolfgang Grieskamp — DE — Europe
Mark Harman — US — North America
Mary Jean Harrold — US — North America
Phil McMinn — US — North America
Antonia Bertolino — IT — Europe
J. Jenny Li — CN — Asia
Hong Zhu — SG — Asia
Mark Harman — US — North America
Yue Jia — MY — Asia
William B. Langdon — US — North America
Justyna Petke — DE — Europe
Iman Hemati Moghadam — IR — Asia
Shin Yoo — KR — Asia
Fan Wu — TW — Asia
Koen Claessen — NL — Europe
John Hughes — US — North America
Sergio Terzi — TR — Asia
Sergio Cavalieri — IT — Europe
Christian Krupitzer — US — North America
Felix Roth — CH — Europe
Sebastian VanSyckel — US — North America
Gregor Schiele — DE — Europe
Christian Becker — DE — Europe
Shin Yoo — KR — Asia
Mark Harman — US — North America
Mark Harman — US — North America
Yunyi Jia — CN — Asia
Jens Krinke — DE — Europe
William B. Langdon — US — North America
Justyna Petke — DE — Europe
Yujie Zhang — CN — Asia
Cu Nguyen — VN — Asia
Simon Miles — US — North America
Anna Perini — IT — Europe
Paolo Tonella — IT — Europe
Mark Harman — US — North America
G. Flucke — DE — Europe
Gregory L. Johnson — US — North America
Clayton L. Hanson — US — North America
Stuart P. Hardegree — US — North America
Edward B. Ballard — US — North America
Georgios N. Yannakakis — GR — Europe
Lucian Bușoniu — unknown — Unknown
Robert Babuška — CZ — Europe
Bart De Schutter — NL — Europe
Sabrine Kalboussi — TN — Africa
Slim Bechikh — TN — Africa
Marouane Kessentini — TN — Africa
Lamjed Ben Saïd — CM — Africa
Saif Al-Sultan — KW — Asia
Moath Muayad Al-Doori — IQ — Asia
Ali H. Al-Bayatti — IR — Asia
H.S.M. Zedan — SY — Asia
Martin Ward — IE — Europe
Yue Jia — MY — Asia
Mark Harman — US — North America
J.P.C. Kleijnen — NL — Europe
Antonia Bertolino — IT — Europe
Mark Harman — US — North America
Jinsung Yoon — KR — Asia
Ahmed M. Alaa — BD — Asia
Scott Hu — CN — Asia
Mihaela van der Schaar — AT — Europe
Yoni Halpern — US — North America
Steven Horng — TW — Asia
David Sontag — US — North America
Michael Grieves — GB — Europe
John Vickers — US — North America
Saul Blecker — US — North America
Stuart D. Katz — IL — Asia
Leora I. Horwitz — US — North America
Gilad J. Kuperman — IL — Asia
Hannah Park — KR — Asia
Alex Gold — US — North America
David Sontag — US — North America
Margaret-Anne Storey — unknown — Unknown
Alexey Zagalsky — IL — Asia
Mostafa Haghi — IR — Asia
Kerstin Thurow — DE — Europe
Regina Stoll — DE — Europe
Justyna Petke — DE — Europe
Sæmundur Ó. Haraldsson — IS — Europe
Mark Harman — US — North America
William B. Langdon — US — North America
David R. White — US — North America
John R. Woodward — US — North America
Brent Smith — US — North America
Greg Linden — FI — Europe
Maya Rotmensch — IL — Asia
Yoni Halpern — US — North America
Abdulhakim Tlimat — SY — Asia
Steven Horng — TW — Asia
David Sontag — US — North America
Magdalini Eirinaki — GR — Europe
Jerry Gao — CA — North America
Iraklis Varlamis — GR — Europe
Konstantinos Tserpes — GR — Europe
Koen Bruynseels — BE — Europe
Filippo Santoni de Sio — IT — Europe
Jeroen van den Hoven — NL — Europe
Bryan Lim — TW — Asia
Mihaela van der Schaar — AT — Europe
John D. Sterman — FI — Europe
David Rohde — US — North America
Stephen Bonner — US — North America
Travis Dunlop — NZ — Oceania
Flavian Vasile — RO — Europe
Alexandros Karatzoglou — GR — Europe
Nadia Alshahwan — JO — Asia
Xinbo Gao — CN — Asia
Mark Harman — US — North America
Yue Jia — MY — Asia
Ke Mao — CN — Asia
Alexander Mols — NL — Europe
Taijin Tei — GH — Africa
Ilya Zorin — RU — Europe
Weiran Shen — CN — Asia
Pingzhong Tang — HK — Asia
Song Zuo — CN — Asia
Tomáš Mikolov — CZ — Europe
Kai Chen — MY — Asia
Greg S. Corrado — IT — Europe
Jay B. Dean — US — North America
Alexandru Marginean — RO — Europe
Johannes Bader — KW — Asia
Satish Chandra — OM — Asia
Mark Harman — US — North America
Yue Jia — MY — Asia
Ke Mao — CN — Asia
Alexander Mols — NL — Europe
Andrew Scott — US — North America
Silvia Milano — DZ — Africa
Mariarosaria Taddeo — IT — Europe
Luciano Floridi — IT — Europe
Barbara Rita Barricelli — IT — Europe
Elena Casiraghi — IT — Europe
Daniela Fogli — IT — Europe
Trent Kyono — JP — Asia
Fiona J. Gilbert — US — North America
Mihaela van der Schaar — AT — Europe
Danijar Hafner — AT — Europe
Timothy Lillicrap — AU — Oceania
Jimmy Ba — SN — Africa
Mohammad Norouzi — IR — Asia
Claire Le Goues — FR — Europe
Michael Pradel — FR — Europe
Abhik Roychoudhury — IN — Asia
Yan Zheng — MY — Asia
Xiaofei Xie — CN — Asia
Ting Su — LC — North America
Lei Ma — MO — Asia
Jianye Hao — CN — Asia
Zhaopeng Meng — CN — Asia
Yang Liu — LC — North America
Ruimin Shen — CN — Asia
Yingfeng Chen — TW — Asia
Changjie Fan — CN — Asia
Adil Rasheed — PK — Asia
Omer San — PH — Asia
Trond Kvamsdal — NO — Europe
George Lakoff — US — North America
Mark L. Johnson — US — North America
Wenjie Wang — CN — Asia
Fuli Feng — CN — Asia
Xiangnan He — CN — Asia
Hanwang Zhang — CN — Asia
Tat-Seng Chua — LC — North America
Shuo Zhang — CN — Asia
Krisztian Balog — HU — Europe
Julian Schrittwieser — AT — Europe
Ioannis Antonoglou — GR — Europe
Thomas Hubert — US — North America
Karen Simonyan — AM — Asia
Laurent Sifre — PR — North America
Simon Schmitt — DE — Europe
Arthur Guez — IL — Asia
Edward Lockhart — US — North America
Demis Hassabis — CY — Asia
Thore Graepel — IE — Europe
Timothy Lillicrap — AU — Oceania
David Silver — NG — Africa
Sirui Yao — CI — Africa
Yoni Halpern — US — North America
Nithum Thain — GB — Europe
Xuezhi Wang — CN — Asia
Kang Lee — MY — Asia
Flavien Prost — FR — Europe
Ed H. — PE — South America
Jilin Chen — TW — Asia
Alex Beutel — DE — Europe
Péter Bauer — AT — Europe
Björn Stevens — US — North America
Wilco Hazeleger — NL — Europe
John Ahlgren — SE — Europe
Maria Eugenia Berezin — UA — Europe
Kinga Bojarczuk — PL — Europe
Elena Dulskyte — LT — Europe
Inna Dvortsova — LV — Europe
Johann George — RO — Europe
Natalija Gucevska — CH — Europe
Mark Harman — US — North America
María Lomelí — MX — North America
Erik Meijer — NL — Europe
Silvia Sapora — IT — Europe
Justin Spahr-Summers — US — North America
Vikas Bavane Prof. RajratnaKharat — IN — Asia
Benjamin Letham — NZ — Oceania
Eytan Bakshy — IL — Asia
Cristiano Calcagno — UY — South America
Dino Distefano — IT — Europe
Jérémy Dubreil — FR — Europe
Dominik Gabi — RO — Europe
Pieter Hooimeijer — NL — Europe
Luca Martino — IT — Europe
Peter W. O’Hearn — NZ — Oceania
Irene Papakonstantinou — GR — Europe
Jim Purbrick — GB — Europe
Dulma Rodriguez — PA — North America</t>
  </si>
  <si>
    <t>Zulkifli Hasan — MY — Asia
Brian Oki — JP — Asia
Saswat Anand — IN — Asia
Tsong Yueh Chen — TW — Asia
Myra B. Cohen — IL — Asia
J. Jenny Li — CN — Asia
Hong Zhu — SG — Asia
Yue Jia — MY — Asia
Iman Hemati Moghadam — IR — Asia
Shin Yoo — KR — Asia
Fan Wu — TW — Asia
Sergio Terzi — TR — Asia
Shin Yoo — KR — Asia
Yunyi Jia — CN — Asia
Yujie Zhang — CN — Asia
Cu Nguyen — VN — Asia
Saif Al-Sultan — KW — Asia
Moath Muayad Al-Doori — IQ — Asia
Ali H. Al-Bayatti — IR — Asia
H.S.M. Zedan — SY — Asia
Yue Jia — MY — Asia
Jinsung Yoon — KR — Asia
Ahmed M. Alaa — BD — Asia
Scott Hu — CN — Asia
Steven Horng — TW — Asia
Stuart D. Katz — IL — Asia
Gilad J. Kuperman — IL — Asia
Hannah Park — KR — Asia
Alexey Zagalsky — IL — Asia
Mostafa Haghi — IR — Asia
Maya Rotmensch — IL — Asia
Abdulhakim Tlimat — SY — Asia
Steven Horng — TW — Asia
Bryan Lim — TW — Asia
Nadia Alshahwan — JO — Asia
Xinbo Gao — CN — Asia
Yue Jia — MY — Asia
Ke Mao — CN — Asia
Weiran Shen — CN — Asia
Pingzhong Tang — HK — Asia
Song Zuo — CN — Asia
Kai Chen — MY — Asia
Johannes Bader — KW — Asia
Satish Chandra — OM — Asia
Yue Jia — MY — Asia
Ke Mao — CN — Asia
Trent Kyono — JP — Asia
Mohammad Norouzi — IR — Asia
Abhik Roychoudhury — IN — Asia
Yan Zheng — MY — Asia
Xiaofei Xie — CN — Asia
Lei Ma — MO — Asia
Jianye Hao — CN — Asia
Zhaopeng Meng — CN — Asia
Ruimin Shen — CN — Asia
Yingfeng Chen — TW — Asia
Changjie Fan — CN — Asia
Adil Rasheed — PK — Asia
Omer San — PH — Asia
Wenjie Wang — CN — Asia
Fuli Feng — CN — Asia
Xiangnan He — CN — Asia
Hanwang Zhang — CN — Asia
Shuo Zhang — CN — Asia
Karen Simonyan — AM — Asia
Arthur Guez — IL — Asia
Demis Hassabis — CY — Asia
Xuezhi Wang — CN — Asia
Kang Lee — MY — Asia
Jilin Chen — TW — Asia
Vikas Bavane Prof. RajratnaKharat — IN — Asia
Eytan Bakshy — IL — Asia</t>
  </si>
  <si>
    <t>David Theo Goldberg — US — North America
David M. Nichols — US — North America
Douglas B. Terry — JM — North America
Edmund Burke — DM — North America
John A. Clark — US — North America
Wolfgang Grieskamp — DE — Europe
Mark Harman — US — North America
Mary Jean Harrold — US — North America
Phil McMinn — US — North America
Antonia Bertolino — IT — Europe
Mark Harman — US — North America
William B. Langdon — US — North America
Justyna Petke — DE — Europe
Koen Claessen — NL — Europe
John Hughes — US — North America
Sergio Cavalieri — IT — Europe
Christian Krupitzer — US — North America
Felix Roth — CH — Europe
Sebastian VanSyckel — US — North America
Gregor Schiele — DE — Europe
Christian Becker — DE — Europe
Mark Harman — US — North America
Mark Harman — US — North America
Jens Krinke — DE — Europe
William B. Langdon — US — North America
Justyna Petke — DE — Europe
Simon Miles — US — North America
Anna Perini — IT — Europe
Paolo Tonella — IT — Europe
Mark Harman — US — North America
G. Flucke — DE — Europe
Gregory L. Johnson — US — North America
Clayton L. Hanson — US — North America
Stuart P. Hardegree — US — North America
Edward B. Ballard — US — North America
Georgios N. Yannakakis — GR — Europe
Lucian Bușoniu — unknown — Unknown
Robert Babuška — CZ — Europe
Bart De Schutter — NL — Europe
Sabrine Kalboussi — TN — Africa
Slim Bechikh — TN — Africa
Marouane Kessentini — TN — Africa
Lamjed Ben Saïd — CM — Africa
Martin Ward — IE — Europe
Mark Harman — US — North America
J.P.C. Kleijnen — NL — Europe
Antonia Bertolino — IT — Europe
Mark Harman — US — North America
Mihaela van der Schaar — AT — Europe
Yoni Halpern — US — North America
David Sontag — US — North America
Michael Grieves — GB — Europe
John Vickers — US — North America
Saul Blecker — US — North America
Leora I. Horwitz — US — North America
Alex Gold — US — North America
David Sontag — US — North America
Margaret-Anne Storey — unknown — Unknown
Kerstin Thurow — DE — Europe
Regina Stoll — DE — Europe
Justyna Petke — DE — Europe
Sæmundur Ó. Haraldsson — IS — Europe
Mark Harman — US — North America
William B. Langdon — US — North America
David R. White — US — North America
John R. Woodward — US — North America
Brent Smith — US — North America
Greg Linden — FI — Europe
Yoni Halpern — US — North America
David Sontag — US — North America
Magdalini Eirinaki — GR — Europe
Jerry Gao — CA — North America
Iraklis Varlamis — GR — Europe
Konstantinos Tserpes — GR — Europe
Koen Bruynseels — BE — Europe
Filippo Santoni de Sio — IT — Europe
Jeroen van den Hoven — NL — Europe
Mihaela van der Schaar — AT — Europe
John D. Sterman — FI — Europe
David Rohde — US — North America
Stephen Bonner — US — North America
Travis Dunlop — NZ — Oceania
Flavian Vasile — RO — Europe
Alexandros Karatzoglou — GR — Europe
Mark Harman — US — North America
Alexander Mols — NL — Europe
Taijin Tei — GH — Africa
Ilya Zorin — RU — Europe
Tomáš Mikolov — CZ — Europe
Greg S. Corrado — IT — Europe
Jay B. Dean — US — North America
Alexandru Marginean — RO — Europe
Mark Harman — US — North America
Alexander Mols — NL — Europe
Andrew Scott — US — North America
Silvia Milano — DZ — Africa
Mariarosaria Taddeo — IT — Europe
Luciano Floridi — IT — Europe
Barbara Rita Barricelli — IT — Europe
Elena Casiraghi — IT — Europe
Daniela Fogli — IT — Europe
Fiona J. Gilbert — US — North America
Mihaela van der Schaar — AT — Europe
Danijar Hafner — AT — Europe
Timothy Lillicrap — AU — Oceania
Jimmy Ba — SN — Africa
Claire Le Goues — FR — Europe
Michael Pradel — FR — Europe
Ting Su — LC — North America
Yang Liu — LC — North America
Trond Kvamsdal — NO — Europe
George Lakoff — US — North America
Mark L. Johnson — US — North America
Tat-Seng Chua — LC — North America
Krisztian Balog — HU — Europe
Julian Schrittwieser — AT — Europe
Ioannis Antonoglou — GR — Europe
Thomas Hubert — US — North America
Laurent Sifre — PR — North America
Simon Schmitt — DE — Europe
Edward Lockhart — US — North America
Thore Graepel — IE — Europe
Timothy Lillicrap — AU — Oceania
David Silver — NG — Africa
Sirui Yao — CI — Africa
Yoni Halpern — US — North America
Nithum Thain — GB — Europe
Flavien Prost — FR — Europe
Ed H. — PE — South America
Alex Beutel — DE — Europe
Péter Bauer — AT — Europe
Björn Stevens — US — North America
Wilco Hazeleger — NL — Europe
John Ahlgren — SE — Europe
Maria Eugenia Berezin — UA — Europe
Kinga Bojarczuk — PL — Europe
Elena Dulskyte — LT — Europe
Inna Dvortsova — LV — Europe
Johann George — RO — Europe
Natalija Gucevska — CH — Europe
Mark Harman — US — North America
María Lomelí — MX — North America
Erik Meijer — NL — Europe
Silvia Sapora — IT — Europe
Justin Spahr-Summers — US — North America
Benjamin Letham — NZ — Oceania
Cristiano Calcagno — UY — South America
Dino Distefano — IT — Europe
Jérémy Dubreil — FR — Europe
Dominik Gabi — RO — Europe
Pieter Hooimeijer — NL — Europe
Luca Martino — IT — Europe
Peter W. O’Hearn — NZ — Oceania
Irene Papakonstantinou — GR — Europe
Jim Purbrick — GB — Europe
Dulma Rodriguez — PA — North America</t>
  </si>
  <si>
    <t>Hong Zhu
Yue Jia
Yunyi Jia
Yue Jia
Yue Jia
Yue Jia
Sirui Yao</t>
  </si>
  <si>
    <t>7 from 12</t>
  </si>
  <si>
    <t>Reference_List1_EASE2022_Ashley_Williams.bib</t>
  </si>
  <si>
    <t>73.74% male authors, 
26.26% female authors, 
0.00% authors of unknown gender.</t>
  </si>
  <si>
    <t>(73) - 73.74% Men
(26) - 26.26% Women</t>
  </si>
  <si>
    <t>Li-Te Cheng - W but is M
Jinwei Cao - M is W</t>
  </si>
  <si>
    <t xml:space="preserve">Kai Petersen - M 
Sairam Vakkalanka - M 
Ludwik Kuźniarz - M 
Dennis Pagano - M 
Walid Maalej - M 
David Budgen - M 
Pearl Brereton - W 
Chris Parnin - M 
Christoph Treude - M 
Margaret‐Anne Storey - W 
Anton Barua - M 
Stephen W. Thomas - M
Ahmed E. Hassan - M 
Chris Parnin - M 
Christoph Treude - M 
Christoffer Rosen - M 
Emad Shihab - M 
Gargi Bougie - W 
Jamie Starke - M 
Margaret‐Anne Storey - W 
Daniel M. Germán - M 
Margaret‐Anne Storey - W 
Leif Singer - M 
Brendan Cleary - M 
Fernando Figueira Filho - M 
Alexey Zagalsky - M 
Margaret‐Anne Storey - W 
Christoph Treude - M 
Arie van Deursen - M 
Li-Te Cheng - M
Michael Chau - M 
Jennifer Xu - W 
Jinwei Cao - W
Porsche Lam - M 
Boby Shiu - M 
Austen Rainer - M 
Tracy Hall - W 
Nathan Baddoo - M 
Ericka Menchen-Trevino - W 
Eszter Hargittai - W 
Wee-Kheng Tan - M 
Yun-Ghang Chang - M 
Prémkumar Dévanbu - M 
Thomas Zimmermann - M 
Christian Bird - M 
Jürgen Münch - M 
Klaus Schmid - M 
Austen Rainer - M 
Kai Petersen - M
Deepika Badampudi - W 
Syed Muhammad Ali Shah - M 
Krzysztof Wnuk - M 
Tony Gorschek - M 
Efi Papatheocharous - W 
Jakob Axelsson - M 
Séverine Séntilles - W 
Ivica Crnković - M 
Antonio Cicchetti - M 
Ashley Williams - W 
Austen Rainer - M 
Vahid Garousi - M 
Michael Felderer - M 
Mika Mäntylä - M 
Maurício Aniche - M 
Christoph Treude - M
Igor Steinmacher - M 
Igor Wiese - M 
Gustavo Pinto - M 
Margaret‐Anne Storey - W 
Marco Aurélio Gerosa - M 
Ashley Williams - W 
Ashley Williams - W 
Bruno Cartaxo - M
Gustavo Pinto - M 
Sérgio Soares - M 
Jacopo Soldani - M 
Damian A. Tamburri - M
Willem‐Jan van den Heuvel - M 
Austen Rainer - M 
Ashley Williams - W 
Austen Rainer - M 
Ashley Williams - W 
Ashley Williams - W 
Austen Rainer - M 
Ashley Williams - W 
Austen Rainer - M 
Austen Rainer - M 
Ashley Williams - W 
Paul Ralph - M 
Eriks Klotins - M 
Austen Rainer - M 
Dorota Jagielska - W
Tracy Hall - W
Michael Felderer - M 
Guilherme Horta Travassos - M 
Rikard Larsson - M 
Barbara Kitchenham - W
Tore Dybå - M 
Magne Jørgensen - M 
</t>
  </si>
  <si>
    <t>Kai Petersen	DK
Sairam Vakkalanka	IN
Ludwik KuÅºniarz	PL
Dennis Pagano	IT
Walid Maalej	TN
David Budgen	GB
Pearl Brereton	IE
Chris Parnin	US
Christoph Treude	DE
Margaret-Anne Storey	GB
Anton Barua	BD
Stephen W. Thomas	US
Ahmed E. Hassan	PK
Chris Parnin	US
Christoph Treude	DE
Christoffer Rosen	US
Emad Shihab	BD
Gargi Bougie	DZ
Jamie Starke	DE
Margaret-Anne Storey	GB
Daniel M. GermÃ¡n	DO
Margaret-Anne Storey	GB
Leif Singer	US
Brendan Cleary	IE
Fernando Figueira Filho	BR
Alexey Zagalsky	IL
Margaret-Anne Storey	GB
Christoph Treude	DE
Arie van Deursen	NL
Li-Te Cheng	HK
Michael Chau	HK
Jennifer Xu	CN
Jinwei Cao	CN
Porsche Lam	HK
Boby Shiu	HK
Austen Rainer	AU
Tracy Hall	US
Nathan Baddoo	GH
Ericka Menchen-Trevino	US
Eszter Hargittai	HU
Wee-Kheng Tan	unknown
Yun-Ghang Chang	unknown
PrÃ©mkumar DÃ©vanbu	unknown
Thomas Zimmermann	DE
Christian Bird	US
JÃ¼rgen MÃ¼nch	DE
Klaus Schmid	CH
Austen Rainer	AU
Kai Petersen	DK
Deepika Badampudi	IN
Syed Muhammad Ali Shah	PK
Krzysztof Wnuk	PL
Tony Gorschek	AT
Efi Papatheocharous	CY
Jakob Axelsson	SE
SÃ©verine SÃ©ntilles	unknown
Ivica CrnkoviÄ‡	HR
Antonio Cicchetti	IT
Ashley Williams	US
Austen Rainer	AU
Vahid Garousi	IR
Michael Felderer	AT
Mika MÃ¤ntylÃ¤	FI
MaurÃ­cio Aniche	NG
Christoph Treude	DE
Igor Steinmacher	HU
Igor Wiese	DE
Gustavo Pinto	PT
Margaret-Anne Storey	GB
Marco AurÃ©lio Gerosa	IT
Ashley Williams	US
Ashley Williams	US
Bruno Cartaxo	PT
Gustavo Pinto	PT
SÃ©rgio Soares	BR
Jacopo Soldani	IT
Damian A. Tamburri	IT
Willem-Jan van den Heuvel	NL
Austen Rainer	AU
Ashley Williams	US
Austen Rainer	AU
Ashley Williams	US
Ashley Williams	US
Austen Rainer	AU
Ashley Williams	US
Austen Rainer	AU
Austen Rainer	AU
Ashley Williams	US
Paul Ralph	BD
Eriks Klotins	LV
Austen Rainer	AU
Dorota Jagielska	PL
Tracy Hall	US
Michael Felderer	AT
Guilherme Horta Travassos	PT
Rikard Larsson	SE
Barbara Kitchenham	GB
Tore DybÃ¥	NO
Magne JÃ¸rgensen	DK</t>
  </si>
  <si>
    <t>Kai Petersen — DK — Europe
Sairam Vakkalanka — IN — Asia
Ludwik Kuźniarz — PL — Europe
Dennis Pagano — IT — Europe
Walid Maalej — TN — Africa
David Budgen — GB — Europe
Pearl Brereton — IE — Europe
Chris Parnin — US — North America
Christoph Treude — DE — Europe
Margaret-Anne Storey — GB — Europe
Anton Barua — BD — Asia
Stephen W. Thomas — US — North America
Ahmed E. Hassan — PK — Asia
Chris Parnin — US — North America
Christoph Treude — DE — Europe
Christoffer Rosen — US — North America
Emad Shihab — BD — Asia
Gargi Bougie — DZ — Africa
Jamie Starke — DE — Europe
Margaret-Anne Storey — GB — Europe
Daniel M. Germán — DO — North America
Margaret-Anne Storey — GB — Europe
Leif Singer — US — North America
Brendan Cleary — IE — Europe
Fernando Figueira Filho — BR — South America
Alexey Zagalsky — IL — Asia
Margaret-Anne Storey — GB — Europe
Christoph Treude — DE — Europe
Arie van Deursen — NL — Europe
Li-Te Cheng — HK — Asia
Michael Chau — HK — Asia
Jennifer Xu — CN — Asia
Jinwei Cao — CN — Asia
Porsche Lam — HK — Asia
Boby Shiu — HK — Asia
Austen Rainer — AU — Oceania
Tracy Hall — US — North America
Nathan Baddoo — GH — Africa
Ericka Menchen-Trevino — US — North America
Eszter Hargittai — HU — Europe
Wee-Kheng Tan — unknown — Unknown
Yun-Ghang Chang — unknown — Unknown
Prémkumar Dévanbu — unknown — Unknown
Thomas Zimmermann — DE — Europe
Christian Bird — US — North America
Jürgen Münch — DE — Europe
Klaus Schmid — CH — Europe
Austen Rainer — AU — Oceania
Kai Petersen — DK — Europe
Deepika Badampudi — IN — Asia
Syed Muhammad Ali Shah — PK — Asia
Krzysztof Wnuk — PL — Europe
Tony Gorschek — AT — Europe
Efi Papatheocharous — CY — Asia
Jakob Axelsson — SE — Europe
Séverine Séntilles — unknown — Unknown
Ivica Crnković — HR — Europe
Antonio Cicchetti — IT — Europe
Ashley Williams — US — North America
Austen Rainer — AU — Oceania
Vahid Garousi — IR — Asia
Michael Felderer — AT — Europe
Mika Mäntylä — FI — Europe
Maurício Aniche — NG — Africa
Christoph Treude — DE — Europe
Igor Steinmacher — HU — Europe
Igor Wiese — DE — Europe
Gustavo Pinto — PT — Europe
Margaret-Anne Storey — GB — Europe
Marco Aurélio Gerosa — IT — Europe
Ashley Williams — US — North America
Ashley Williams — US — North America
Bruno Cartaxo — PT — Europe
Gustavo Pinto — PT — Europe
Sérgio Soares — BR — South America
Jacopo Soldani — IT — Europe
Damian A. Tamburri — IT — Europe
Willem-Jan van den Heuvel — NL — Europe
Austen Rainer — AU — Oceania
Ashley Williams — US — North America
Austen Rainer — AU — Oceania
Ashley Williams — US — North America
Ashley Williams — US — North America
Austen Rainer — AU — Oceania
Ashley Williams — US — North America
Austen Rainer — AU — Oceania
Austen Rainer — AU — Oceania
Ashley Williams — US — North America
Paul Ralph — BD — Asia
Eriks Klotins — LV — Europe
Austen Rainer — AU — Oceania
Dorota Jagielska — PL — Europe
Tracy Hall — US — North America
Michael Felderer — AT — Europe
Guilherme Horta Travassos — PT — Europe
Rikard Larsson — SE — Europe
Barbara Kitchenham — GB — Europe
Tore Dybå — NO — Europe
Magne Jørgensen — DK — Europe</t>
  </si>
  <si>
    <t>Sairam Vakkalanka — IN — Asia
Anton Barua — BD — Asia
Ahmed E. Hassan — PK — Asia
Emad Shihab — BD — Asia
Alexey Zagalsky — IL — Asia
Li-Te Cheng — HK — Asia
Michael Chau — HK — Asia
Jennifer Xu — CN — Asia
Jinwei Cao — CN — Asia
Porsche Lam — HK — Asia
Boby Shiu — HK — Asia
Deepika Badampudi — IN — Asia
Syed Muhammad Ali Shah — PK — Asia
Efi Papatheocharous — CY — Asia
Vahid Garousi — IR — Asia
Paul Ralph — BD — Asia</t>
  </si>
  <si>
    <t>Kai Petersen — DK — Europe
Ludwik Kuźniarz — PL — Europe
Dennis Pagano — IT — Europe
Walid Maalej — TN — Africa
David Budgen — GB — Europe
Pearl Brereton — IE — Europe
Chris Parnin — US — North America
Christoph Treude — DE — Europe
Margaret-Anne Storey — GB — Europe
Stephen W. Thomas — US — North America
Chris Parnin — US — North America
Christoph Treude — DE — Europe
Christoffer Rosen — US — North America
Gargi Bougie — DZ — Africa
Jamie Starke — DE — Europe
Margaret-Anne Storey — GB — Europe
Daniel M. Germán — DO — North America
Margaret-Anne Storey — GB — Europe
Leif Singer — US — North America
Brendan Cleary — IE — Europe
Fernando Figueira Filho — BR — South America
Margaret-Anne Storey — GB — Europe
Christoph Treude — DE — Europe
Arie van Deursen — NL — Europe
Austen Rainer — AU — Oceania
Tracy Hall — US — North America
Nathan Baddoo — GH — Africa
Ericka Menchen-Trevino — US — North America
Eszter Hargittai — HU — Europe
Wee-Kheng Tan — unknown — Unknown
Yun-Ghang Chang — unknown — Unknown
Prémkumar Dévanbu — unknown — Unknown
Thomas Zimmermann — DE — Europe
Christian Bird — US — North America
Jürgen Münch — DE — Europe
Klaus Schmid — CH — Europe
Austen Rainer — AU — Oceania
Kai Petersen — DK — Europe
Krzysztof Wnuk — PL — Europe
Tony Gorschek — AT — Europe
Jakob Axelsson — SE — Europe
Séverine Séntilles — unknown — Unknown
Ivica Crnković — HR — Europe
Antonio Cicchetti — IT — Europe
Ashley Williams — US — North America
Austen Rainer — AU — Oceania
Michael Felderer — AT — Europe
Mika Mäntylä — FI — Europe
Maurício Aniche — NG — Africa
Christoph Treude — DE — Europe
Igor Steinmacher — HU — Europe
Igor Wiese — DE — Europe
Gustavo Pinto — PT — Europe
Margaret-Anne Storey — GB — Europe
Marco Aurélio Gerosa — IT — Europe
Ashley Williams — US — North America
Ashley Williams — US — North America
Bruno Cartaxo — PT — Europe
Gustavo Pinto — PT — Europe
Sérgio Soares — BR — South America
Jacopo Soldani — IT — Europe
Damian A. Tamburri — IT — Europe
Willem-Jan van den Heuvel — NL — Europe
Austen Rainer — AU — Oceania
Ashley Williams — US — North America
Austen Rainer — AU — Oceania
Ashley Williams — US — North America
Ashley Williams — US — North America
Austen Rainer — AU — Oceania
Ashley Williams — US — North America
Austen Rainer — AU — Oceania
Austen Rainer — AU — Oceania
Ashley Williams — US — North America
Eriks Klotins — LV — Europe
Austen Rainer — AU — Oceania
Dorota Jagielska — PL — Europe
Tracy Hall — US — North America
Michael Felderer — AT — Europe
Guilherme Horta Travassos — PT — Europe
Rikard Larsson — SE — Europe
Barbara Kitchenham — GB — Europe
Tore Dybå — NO — Europe
Magne Jørgensen — DK — Europe</t>
  </si>
  <si>
    <t>Li-Te Cheng
Jinwei Cao</t>
  </si>
  <si>
    <t>2 from 2</t>
  </si>
  <si>
    <t>Reference_List14_EASE2022_Kalle_Janssen</t>
  </si>
  <si>
    <t>88.24% male authors, (30)
11.76% female authors, (4)
0.00% authors of unknown gender.</t>
  </si>
  <si>
    <t>Men: 91.17% (31)
Women: 8.82% (3)</t>
  </si>
  <si>
    <t xml:space="preserve">Yunxin Liu - W but is M 
Hyosu Kim - W but is M 
Yu Xiao - M but is W 
</t>
  </si>
  <si>
    <t>Duc Hoang Bui - M 
Yunxin Liu - M 
Hyosu Kim - M 
Insik Shin - M 
Feng Zhao - M 
Narendran Thiagarajan - M 
Gaurav Aggarwal - M 
Angela Nicoarǎ - W 
Dan Boneh - M 
Jatinder Singh - M 
Mohammad A. Hoque - M 
Matti Siekkinen - M 
Kashif Nizam Khan - M 
Yu Xiao - W 
Sasu Tarkoma - M 
Victor Le Pochat - M 
Tom Van Goethem - M 
Samaneh Tajalizadehkhoob - W 
Maciej Korczyński - M 
Wouter Joosen - M 
Deyu Tian - M 
Yun Ma - M 
Ivano Malavolta - M 
Eoin Martino Grua - M 
Cheng-Yu Lam - M 
Randy de Vries - M 
Franky Tan - M 
Eric Zielinski - M 
Michael H. Peters - M 
Luuk Kaandorp - M 
Omar de Munk - M 
Ivano Malavolta - M 
Thomas D. Cook - M 
Donald T. Campbell - M</t>
  </si>
  <si>
    <t>Duc Hoang Bui	VN
Yunxin Liu	CN
Hyosu Kim	KR
Insik Shin	KR
Feng Zhao	CN
Narendran Thiagarajan	LC
Gaurav Aggarwal	IN
Angela NicoarÇŽ	unknown
Dan Boneh	IL
Jatinder Singh	OM
Mohammad A. Hoque	BD
Matti Siekkinen	FI
Kashif Nizam Khan	PK
Yu Xiao	CA
Sasu Tarkoma	FI
Victor Le Pochat	FR
Tom Van Goethem	BE
Samaneh Tajalizadehkhoob	IR
Maciej KorczyÅ„ski	PL
Wouter Joosen	NL
Deyu Tian	CN
Yun Ma	KR
Ivano Malavolta	IT
Eoin Martino Grua	IT
Cheng-Yu Lam	HK
Randy de Vries	NA
Franky Tan	LC
Eric Zielinski	PL
Michael H. Peters	US
Luuk Kaandorp	NL
Omar de Munk	DK
Ivano Malavolta	IT
Thomas D. Cook	US
Donald T. Campbell	JM</t>
  </si>
  <si>
    <t>Duc Hoang Bui — VN — Asia
Yunxin Liu — CN — Asia
Hyosu Kim — KR — Asia
Insik Shin — KR — Asia
Feng Zhao — CN — Asia
Narendran Thiagarajan — LC — North America
Gaurav Aggarwal — IN — Asia
Angela Nicoară — unknown — Unknown
Dan Boneh — IL — Asia
Jatinder Singh — OM — Asia
Mohammad A. Hoque — BD — Asia
Matti Siekkinen — FI — Europe
Kashif Nizam Khan — PK — Asia
Yu Xiao — CA — North America
Sasu Tarkoma — FI — Europe
Victor Le Pochat — FR — Europe
Tom Van Goethem — BE — Europe
Samaneh Tajalizadehkhoob — IR — Asia
Maciej Korczyński — PL — Europe
Wouter Joosen — NL — Europe
Deyu Tian — CN — Asia
Yun Ma — KR — Asia
Ivano Malavolta — IT — Europe
Eoin Martino Grua — IT — Europe
Cheng-Yu Lam — HK — Asia
Randy de Vries — NA — Unknown
Franky Tan — LC — North America
Eric Zielinski — PL — Europe
Michael H. Peters — US — North America
Luuk Kaandorp — NL — Europe
Omar de Munk — DK — Europe
Ivano Malavolta — IT — Europe
Thomas D. Cook — US — North America
Donald T. Campbell — JM — North America</t>
  </si>
  <si>
    <t>Duc Hoang Bui — VN — Asia
Yunxin Liu — CN — Asia
Hyosu Kim — KR — Asia
Insik Shin — KR — Asia
Feng Zhao — CN — Asia
Gaurav Aggarwal — IN — Asia
Dan Boneh — IL — Asia
Jatinder Singh — OM — Asia
Mohammad A. Hoque — BD — Asia
Kashif Nizam Khan — PK — Asia
Samaneh Tajalizadehkhoob — IR — Asia
Deyu Tian — CN — Asia
Yun Ma — KR — Asia
Cheng-Yu Lam — HK — Asia</t>
  </si>
  <si>
    <t>Narendran Thiagarajan — LC — North America
Angela Nicoară — unknown — Unknown
Matti Siekkinen — FI — Europe
Yu Xiao — CA — North America
Sasu Tarkoma — FI — Europe
Victor Le Pochat — FR — Europe
Tom Van Goethem — BE — Europe
Maciej Korczyński — PL — Europe
Wouter Joosen — NL — Europe
Ivano Malavolta — IT — Europe
Eoin Martino Grua — IT — Europe
Randy de Vries — NA — Unknown
Franky Tan — LC — North America
Eric Zielinski — PL — Europe
Michael H. Peters — US — North America
Luuk Kaandorp — NL — Europe
Omar de Munk — DK — Europe
Ivano Malavolta — IT — Europe
Thomas D. Cook — US — North America
Donald T. Campbell — JM — North America</t>
  </si>
  <si>
    <t xml:space="preserve">Yunxin Liu 
Hyosu Kim 
Yu Xiao </t>
  </si>
  <si>
    <t>3 from 3</t>
  </si>
  <si>
    <t>Reference_List19_EASE2023_Huseyin_Dursun</t>
  </si>
  <si>
    <t>100.00% male authors, 
0.00% female authors, 
0.00% authors of unknown gender</t>
  </si>
  <si>
    <t>100.00% male authors, 
0.00% female authors,</t>
  </si>
  <si>
    <t>Dirk Riehle - M 
Maximilian Capraro - M 
Detlef Kips - M 
Lars Horn - M 
W. Edwards Deming - M</t>
  </si>
  <si>
    <t>Dirk Riehle	US
Maximilian Capraro	IT
Detlef Kips	KE
Lars Horn	US
W. Edwards Deming	US</t>
  </si>
  <si>
    <t>Dirk Riehle (US) – North America
Maximilian Capraro (IT) – Europe
Detlef Kips (KE) – Africa
Lars Horn (US) – North America
W. Edwards Deming (US) – North America</t>
  </si>
  <si>
    <t>Dirk Riehle (US)
Maximilian Capraro (IT)
Detlef Kips (KE)
Lars Horn (US)
W. Edwards Deming (US)</t>
  </si>
  <si>
    <t>Reference_List2_EASE2020_Abdulrahman_Alatawi.bib</t>
  </si>
  <si>
    <t>(39) 82.98% male authors, 
(7) 14.89% female authors, 
(1) 2.13% authors of unknown gender.</t>
  </si>
  <si>
    <t>Men: (38): 80.85%
Women: (9): 19.14%</t>
  </si>
  <si>
    <t>Yann‐Gaël Guéhéneuc - X but is M
Jie Yan - M but is W 
Jian Su - M but is W</t>
  </si>
  <si>
    <t>Ricardo Baeza‐Yates - M 
Chris H. Perleberg - M 
Fangfang Feng - W 
W. Bruce Croft - M 
Anna Corazza - W 
Sergio Di Martino - M 
Valerio Maggio - M 
Robert Krovetz - M 
Navid Madani - M 
Latifa Guerrouj - W 
Massimiliano Di Penta - M 
Yann‐Gaël Guéhéneuc - M 
Giuliano Antoniol - M 
Kathryn Yusoff - W 
Dawn Lawrie - W 
David Binkley - M 
Christopher H. Morrell - M 
Stanley F. Chen - M 
Joshua Goodman - M 
Arctic Monitoring and Assessment Programme - M (?) 
Cataldo Musto - M 
Giovanni Semeraro - M 
Marco de Gemmis - M 
Pasquale Lops - M 
Daniel Valcarce - M 
Javier Parapar - M 
Álvaro Barreiro - M 
Dianxiang Xu - M 
Omar El Ariss - M 
Yunkai Liu - M 
Abdulrahman Alatawi - M 
Abdulrahman Alatawi - M 
Weifeng Xu - M 
Jie Yan - W 
Tomáš Mikolov - M 
Kai Chen - M 
Greg S. Corrado - M 
Jay B. Dean - M 
Dawn Lawrie - W 
Henry Feild - M 
David Binkley - M 
Corinna Cortes - W 
Vladimir Vapnik - M 
Wei Zhang - M 
Yan Chuan Sim - M 
Jian Su - W 
Chew Lim Tan - M</t>
  </si>
  <si>
    <t>Ricardo Baezaâ€Yates	unknown
Chris H. Perleberg	DE
Fangfang Feng	CN
W. Bruce Croft	US
Anna Corazza	IT
Sergio Di Martino	IT
Valerio Maggio	IT
Robert Krovetz	PS
Navid Madani	IR
Latifa Guerrouj	MA
Massimiliano Di Penta	IT
Yannâ€GaÃ«l GuÃ©hÃ©neuc	unknown
Giuliano Antoniol	AT
Kathryn Yusoff	MY
Dawn Lawrie	AU
David Binkley	US
Christopher H. Morrell	US
Stanley F. Chen	TW
Joshua Goodman	US
Arctic Monitoring and Assessment Programme	AE
Cataldo Musto	IT
Giovanni Semeraro	IT
Marco de Gemmis	AR
Pasquale Lops	IT
Daniel Valcarce	ES
Javier Parapar	ES
Ãlvaro Barreiro	UY
Dianxiang Xu	CN
Omar El Ariss	LB
Yunkai Liu	CN
Abdulrahman Alatawi	BH
Abdulrahman Alatawi	BH
Weifeng Xu	CN
Jie Yan	CN
TomÃ¡Å¡ Mikolov	CZ
Kai Chen	MY
Greg S. Corrado	IT
Jay B. Dean	US
Dawn Lawrie	AU
Henry Feild	US
David Binkley	US
Corinna Cortes	CL
Vladimir Vapnik	IL
Wei Zhang	SG
Yan Chuan Sim	LC
Jian Su	TW
Chew Lim Tan	LC</t>
  </si>
  <si>
    <t>Ricardo Baeza-Yates — unknown — Unknown
Chris H. Perleberg — DE — Europe
Fangfang Feng — CN — Asia
W. Bruce Croft — US — North America
Anna Corazza — IT — Europe
Sergio Di Martino — IT — Europe
Valerio Maggio — IT — Europe
Robert Krovetz — PS — Asia
Navid Madani — IR — Asia
Latifa Guerrouj — MA — Africa
Massimiliano Di Penta — IT — Europe
Yann-Gaël Guéhéneuc — unknown — Unknown
Giuliano Antoniol — AT — Europe
Kathryn Yusoff — MY — Asia
Dawn Lawrie — AU — Oceania
David Binkley — US — North America
Christopher H. Morrell — US — North America
Stanley F. Chen — TW — Asia
Joshua Goodman — US — North America
Arctic Monitoring and Assessment Programme — AE — Asia
Cataldo Musto — IT — Europe
Giovanni Semeraro — IT — Europe
Marco de Gemmis — AR — South America
Pasquale Lops — IT — Europe
Daniel Valcarce — ES — Europe
Javier Parapar — ES — Europe
Álvaro Barreiro — UY — South America
Dianxiang Xu — CN — Asia
Omar El Ariss — LB — Asia
Yunkai Liu — CN — Asia
Abdulrahman Alatawi — BH — Asia
Abdulrahman Alatawi — BH — Asia
Weifeng Xu — CN — Asia
Jie Yan — CN — Asia
Tomáš Mikolov — CZ — Europe
Kai Chen — MY — Asia
Greg S. Corrado — IT — Europe
Jay B. Dean — US — North America
Dawn Lawrie — AU — Oceania
Henry Feild — US — North America
David Binkley — US — North America
Corinna Cortes — CL — South America
Vladimir Vapnik — IL — Asia
Wei Zhang — SG — Asia
Yan Chuan Sim — LC — North America
Jian Su — TW — Asia
Chew Lim Tan — LC — North America</t>
  </si>
  <si>
    <t>Fangfang Feng — CN — Asia
Robert Krovetz — PS — Asia
Navid Madani — IR — Asia
Kathryn Yusoff — MY — Asia
Stanley F. Chen — TW — Asia
Arctic Monitoring and Assessment Programme — AE — Asia
Dianxiang Xu — CN — Asia
Omar El Ariss — LB — Asia
Yunkai Liu — CN — Asia
Abdulrahman Alatawi — BH — Asia
Abdulrahman Alatawi — BH — Asia
Weifeng Xu — CN — Asia
Jie Yan — CN — Asia
Kai Chen — MY — Asia
Vladimir Vapnik — IL — Asia
Wei Zhang — SG — Asia
Jian Su — TW — Asia</t>
  </si>
  <si>
    <t>Ricardo Baeza-Yates — unknown — Unknown
Chris H. Perleberg — DE — Europe
W. Bruce Croft — US — North America
Anna Corazza — IT — Europe
Sergio Di Martino — IT — Europe
Valerio Maggio — IT — Europe
Latifa Guerrouj — MA — Africa
Massimiliano Di Penta — IT — Europe
Yann-Gaël Guéhéneuc — unknown — Unknown
Giuliano Antoniol — AT — Europe
Dawn Lawrie — AU — Oceania
David Binkley — US — North America
Christopher H. Morrell — US — North America
Joshua Goodman — US — North America
Cataldo Musto — IT — Europe
Giovanni Semeraro — IT — Europe
Marco de Gemmis — AR — South America
Pasquale Lops — IT — Europe
Daniel Valcarce — ES — Europe
Javier Parapar — ES — Europe
Álvaro Barreiro — UY — South America
Tomáš Mikolov — CZ — Europe
Greg S. Corrado — IT — Europe
Jay B. Dean — US — North America
Dawn Lawrie — AU — Oceania
Henry Feild — US — North America
David Binkley — US — North America
Corinna Cortes — CL — South America
Yan Chuan Sim — LC — North America
Chew Lim Tan — LC — North America</t>
  </si>
  <si>
    <t>Jie Yan 
Jian Su</t>
  </si>
  <si>
    <t>Reference_List2_EASE2021_Adam_Alami.bib</t>
  </si>
  <si>
    <t>(103): 73.57% male authors, 
(37): 26.43% female authors, 
0.00% authors of unknown gender.</t>
  </si>
  <si>
    <t>Men (101): 72.14%
Women (39): 27.86%</t>
  </si>
  <si>
    <t xml:space="preserve">Norsaremah Salleh - M but is W 
Jan Chong - M but is W 
</t>
  </si>
  <si>
    <t>Robert C. Seacord - M 
Joseph P. Elm - M 
Wolfhart B. Goethert - M 
Grace A. Lewis - W 
Daniel Plakosh - M 
John Robert - M 
Lutz Wrage - M 
Mikael Lindvall - M 
Thomas A. Schwandt - M 
Martin Michlmayr - M 
Francis Hunt - M 
David Probert - M 
Olli P. Timperi - M 
Colin C. Venters - M 
Caroline Jay - W 
Lydia Lau - W 
Michael K. Griffiths - M 
Violeta Holmes - W 
Rupert Ward - M 
Jim Austin - M 
Charlie Dibsdale - M 
Jie Xu - M 
Raimund Moser - M 
Pekka Abrahamsson - M 
Witold Pedrycz - M 
Alberto Sillitti - M 
Giancarlo Succi - M 
Normand Séguin - M 
Guy Tremblay - M 
Houda Bagane - W 
Daniela S. Cruzes - W 
T. Dyba - M 
Pervaiz K. Ahmed - M 
Ann Y. E. Loh - W 
Mohamed Zairi - M 
John Tripp - M 
Deborah J. Armstrong - W 
Susan C. Pearce - W 
John Bessant - M 
David Francis - M 
Nachiappan Nagappan - M 
E. Michael Maximilien - M 
Thirumalesh Bhat - M 
Laurie Williams - W 
Jan Chong - W 
Tom Hurlbutt - M 
David Lorge Parnas - M 
Mark Lawford - M 
Barry Boehm - M 
Adnan Čaušević - M 
Daniel Sundmark - M 
Sasikumar Punnekkat - M 
Jo Erskine Hannay - M 
Tore Dybå - M 
Erik Arisholm - M 
Dag I. K. Sjøberg - M 
Hanna Hulkko - W 
Pekka Abrahamsson - M 
Jennifer R. Wolgemuth - W 
Zeynep Erdil-­Moody - W 
Tara Opsal - W 
Jennifer E. Cross - W 
Tanya Kaanta - W 
Ellyn M. Dickmann - W 
Soria E. Colomer - W 
Thomas D. LaToza - M 
Gina Venolia - W 
Robert DeLine - M 
Martin Fowler - M 
Tore Dybå - M 
Torgeir Dingsøyr - M 
Tom Mens - M 
Tom Tourwé - M 
Maarit Laanti - W 
Jouni Similä - M 
Pekka Abrahamsson - M 
Torgeir Dingsøyr - M 
Sridhar Nerur - M 
VenuGopal Balijepally - M 
Nils Brede Moe - M 
Jamie Stevenson - M 
Murray Wood - M 
Gilbert Harman - M 
Kent Beck - M 
Ana Silva - W 
Thalles Araújo - M 
João Nunes - M 
Mirko Perkusich - M 
Ednaldo Dilorenzo - M 
Hyggo Almeida - M 
Ângelo Perkusich - M 
Marta-Christina Suciu - W 
Benjamin Saunders - M 
Julius Sim - M 
Tom Kingstone - M 
Shula Baker - W 
Jackie Waterfield - W 
Bernadette Bartlam - W 
Heather Burroughs - W 
Clare Jinks - W 
André M. Carvalho - M 
Paulo Sampaio - M 
Eric Rebentisch - M 
João Álvaro Carvalho - M 
Pedro Saraiva - M 
Martin Fowler - M 
Orit Hazzan - W 
Yael Dubinsky - W 
Rashina Hoda - W 
Norsaremah Salleh - W 
John Grundy - M 
Philipp Hohl - M 
Jil Klünder - W 
Arie van Bennekum - M 
Ryan D. Lockard - M 
James Gifford - M 
Jürgen Münch - M 
Michael Stupperich - M 
Kurt Schneider - M 
Paula Rachow - W 
Sandra Schröder - W 
Matthias Riebisch - M 
Robert Martin - M 
Jérôme Euzenat - M 
Asunción Gómez‐Pérez - W 
Nicola Guarino - M 
Heiner Stuckenschmidt - M 
Gloria Arcos-Medina - W 
David Mauricio - M 
Vebjørn Berg - M 
Jørgen Birkeland - M 
Anh Nguyen‐Duc - M 
Ilias O. Pappas - M 
Letizia Jaccheri - W 
Adam Alami - M 
Björn Latte - M 
Sören Henning - M 
Maik Wojcieszak - M 
Susan C. Pearce - W 
Lech Madeyski - M</t>
  </si>
  <si>
    <t>Robert C. Seacord	US
Joseph P. Elm	MA
Wolfhart B. Goethert	DE
Grace A. Lewis	US
Daniel Plakosh	UA
John Robert	CA
Lutz Wrage	DE
Mikael Lindvall	SE
Thomas A. Schwandt	DE
Martin Michlmayr	AT
Francis Hunt	US
David Probert	GB
Olli P. Timperi	FI
Colin C. Venters	US
Caroline Jay	US
Lydia Lau	HK
Michael K. Griffiths	GB
Violeta Holmes	US
Rupert Ward	US
Jim Austin	US
Charlie Dibsdale	GB
Jie Xu	CN
Raimund Moser	AT
Pekka Abrahamsson	SE
Witold Pedrycz	PL
Alberto Sillitti	IT
Giancarlo Succi	IT
Normand SÃ©guin	CA
Guy Tremblay	CA
Houda Bagane	TN
Daniela S. Cruzes	BR
T. Dyba	PL
Pervaiz K. Ahmed	PK
Ann Y. E. Loh	LC
Mohamed Zairi	TN
John Tripp	US
Deborah J. Armstrong	US
Susan C. Pearce	AU
John Bessant	GB
David Francis	SG
Nachiappan Nagappan	MY
E. Michael Maximilien	HT
Thirumalesh Bhat	IN
Laurie Williams	US
Jan Chong	SG
Tom Hurlbutt	US
David Lorge Parnas	BE
Mark Lawford	AU
Barry Boehm	US
Adnan ÄŒauÅ¡eviÄ‡	BA
Daniel Sundmark	SE
Sasikumar Punnekkat	US
Jo Erskine Hannay	NZ
Tore DybÃ¥	NO
Erik Arisholm	NO
Dag I. K. SjÃ¸berg	NO
Hanna Hulkko	FI
Pekka Abrahamsson	SE
Jennifer R. Wolgemuth	US
Zeynep Erdil-Moody	US
Tara Opsal	NO
Jennifer E. Cross	US
Tanya Kaanta	FI
Ellyn M. Dickmann	DE
Soria E. Colomer	UY
Thomas D. LaToza	PH
Gina Venolia	ZA
Robert DeLine	CA
Martin Fowler	US
Tore DybÃ¥	NO
Torgeir DingsÃ¸yr	NO
Tom Mens	GH
Tom TourwÃ©	BE
Maarit Laanti	FI
Jouni SimilÃ¤	FI
Pekka Abrahamsson	SE
Torgeir DingsÃ¸yr	NO
Sridhar Nerur	OM
VenuGopal Balijepally	IN
Nils Brede Moe	NO
Jamie Stevenson	MY
Murray Wood	US
Gilbert Harman	US
Kent Beck	US
Ana Silva	MU
Thalles AraÃºjo	BR
JoÃ£o Nunes	PT
Mirko Perkusich	AU
Ednaldo Dilorenzo	US
Hyggo Almeida	unknown
Ã‚ngelo Perkusich	AU
Marta-Christina Suciu	unknown
Benjamin Saunders	US
Julius Sim	LC
Tom Kingstone	NZ
Shula Baker	US
Jackie Waterfield	GB
Bernadette Bartlam	GB
Heather Burroughs	US
Clare Jinks	US
AndrÃ© M. Carvalho	PT
Paulo Sampaio	BR
Eric Rebentisch	DE
JoÃ£o Ãlvaro Carvalho	PT
Pedro Saraiva	PT
Martin Fowler	US
Orit Hazzan	IL
Yael Dubinsky	IL
Rashina Hoda	AL
Norsaremah Salleh	MY
John Grundy	GB
Philipp Hohl	CH
Jil KlÃ¼nder	DE
Arie van Bennekum	NL
Ryan D. Lockard	US
James Gifford	US
JÃ¼rgen MÃ¼nch	DE
Michael Stupperich	DE
Kurt Schneider	DE
Paula Rachow	DE
Sandra SchrÃ¶der	DE
Matthias Riebisch	DE
Robert Martin	US
JÃ©rÃ´me Euzenat	FR
AsunciÃ³n GÃ³mez-PÃ©rez	ES
Nicola Guarino	IT
Heiner Stuckenschmidt	AU
Gloria Arcos-Medina	unknown
David Mauricio	GT
VebjÃ¸rn Berg	NO
JÃ¸rgen Birkeland	NO
Anh Nguyen-Duc	VN
Ilias O. Pappas	GR
Letizia Jaccheri	NO
Adam Alami	MA
BjÃ¶rn Latte	CI
SÃ¶ren Henning	DE
Maik Wojcieszak	PL
Susan C. Pearce	AU
Lech Madeyski	PL</t>
  </si>
  <si>
    <t>Robert C. Seacord — US — North America
Joseph P. Elm — MA — Africa
Wolfhart B. Goethert — DE — Europe
Grace A. Lewis — US — North America
Daniel Plakosh — UA — Europe
John Robert — CA — North America
Lutz Wrage — DE — Europe
Mikael Lindvall — SE — Europe
Thomas A. Schwandt — DE — Europe
Martin Michlmayr — AT — Europe
Francis Hunt — US — North America
David Probert — GB — Europe
Olli P. Timperi — FI — Europe
Colin C. Venters — US — North America
Caroline Jay — US — North America
Lydia Lau — HK — Asia
Michael K. Griffiths — GB — Europe
Violeta Holmes — US — North America
Rupert Ward — US — North America
Jim Austin — US — North America
Charlie Dibsdale — GB — Europe
Jie Xu — CN — Asia
Raimund Moser — AT — Europe
Pekka Abrahamsson — SE — Europe
Witold Pedrycz — PL — Europe
Alberto Sillitti — IT — Europe
Giancarlo Succi — IT — Europe
Normand Séguin — CA — North America
Guy Tremblay — CA — North America
Houda Bagane — TN — Africa
Daniela S. Cruzes — BR — South America
T. Dyba — PL — Europe
Pervaiz K. Ahmed — PK — Asia
Ann Y. E. Loh — LC — North America
Mohamed Zairi — TN — Africa
John Tripp — US — North America
Deborah J. Armstrong — US — North America
Susan C. Pearce — AU — Oceania
John Bessant — GB — Europe
David Francis — SG — Asia
Nachiappan Nagappan — MY — Asia
E. Michael Maximilien — HT — North America
Thirumalesh Bhat — IN — Asia
Laurie Williams — US — North America
Jan Chong — SG — Asia
Tom Hurlbutt — US — North America
David Lorge Parnas — BE — Europe
Mark Lawford — AU — Oceania
Barry Boehm — US — North America
Adnan Čaušević — BA — Europe
Daniel Sundmark — SE — Europe
Sasikumar Punnekkat — US — North America
Jo Erskine Hannay — NZ — Oceania
Tore Dybå — NO — Europe
Erik Arisholm — NO — Europe
Dag I. K. Sjöberg — NO — Europe
Hanna Hulkko — FI — Europe
Pekka Abrahamsson — SE — Europe
Jennifer R. Wolgemuth — US — North America
Zeynep Erdil-Moody — US — North America
Tara Opsal — NO — Europe
Jennifer E. Cross — US — North America
Tanya Kaanta — FI — Europe
Ellyn M. Dickmann — DE — Europe
Soria E. Colomer — UY — South America
Thomas D. LaToza — PH — Asia
Gina Venolia — ZA — Africa
Robert DeLine — CA — North America
Martin Fowler — US — North America
Tore Dybå — NO — Europe
Torgeir Dingsøyr — NO — Europe
Tom Mens — GH — Africa
Tom Tourwé — BE — Europe
Maarit Laanti — FI — Europe
Jouni Similä — FI — Europe
Pekka Abrahamsson — SE — Europe
Torgeir Dingsøyr — NO — Europe
Sridhar Nerur — OM — Asia
VenuGopal Balijepally — IN — Asia
Nils Brede Moe — NO — Europe
Jamie Stevenson — MY — Asia
Murray Wood — US — North America
Gilbert Harman — US — North America
Kent Beck — US — North America
Ana Silva — MU — Africa
Thalles Araújo — BR — South America
João Nunes — PT — Europe
Mirko Perkusich — AU — Oceania
Ednaldo Dilorenzo — US — North America
Hyggo Almeida — unknown — Unknown
Ângelo Perkusich — AU — Oceania
Marta-Christina Suciu — unknown — Unknown
Benjamin Saunders — US — North America
Julius Sim — LC — North America
Tom Kingstone — NZ — Oceania
Shula Baker — US — North America
Jackie Waterfield — GB — Europe
Bernadette Bartlam — GB — Europe
Heather Burroughs — US — North America
Clare Jinks — US — North America
André M. Carvalho — PT — Europe
Paulo Sampaio — BR — South America
Eric Rebentisch — DE — Europe
João Álvaro Carvalho — PT — Europe
Pedro Saraiva — PT — Europe
Martin Fowler — US — North America
Orit Hazzan — IL — Asia
Yael Dubinsky — IL — Asia
Rashina Hoda — AL — Europe
Norsaremah Salleh — MY — Asia
John Grundy — GB — Europe
Philipp Hohl — CH — Europe
Jil Klünder — DE — Europe
Arie van Bennekum — NL — Europe
Ryan D. Lockard — US — North America
James Gifford — US — North America
Jürgen Münch — DE — Europe
Michael Stupperich — DE — Europe
Kurt Schneider — DE — Europe
Paula Rachow — DE — Europe
Sandra Schröder — DE — Europe
Matthias Riebisch — DE — Europe
Robert Martin — US — North America
Jérôme Euzenat — FR — Europe
Asunción Gómez-Pérez — ES — Europe
Nicola Guarino — IT — Europe
Heiner Stuckenschmidt — AU — Oceania
Gloria Arcos-Medina — unknown — Unknown
David Mauricio — GT — North America
Vebjørn Berg — NO — Europe
Jørgen Birkeland — NO — Europe
Anh Nguyen-Duc — VN — Asia
Ilias O. Pappas — GR — Europe
Letizia Jaccheri — NO — Europe
Adam Alami — MA — Africa
Björn Latte — CI — Africa
Sören Henning — DE — Europe
Maik Wojcieszak — PL — Europe
Susan C. Pearce — AU — Oceania
Lech Madeyski — PL — Europe</t>
  </si>
  <si>
    <t>Lydia Lau — HK — Asia
Jie Xu — CN — Asia
Pervaiz K. Ahmed — PK — Asia
David Francis — SG — Asia
Nachiappan Nagappan — MY — Asia
Thirumalesh Bhat — IN — Asia
Jan Chong — SG — Asia
Thomas D. LaToza — PH — Asia
Sridhar Nerur — OM — Asia
VenuGopal Balijepally — IN — Asia
Jamie Stevenson — MY — Asia
Orit Hazzan — IL — Asia
Yael Dubinsky — IL — Asia
Norsaremah Salleh — MY — Asia
Anh Nguyen-Duc — VN — Asia</t>
  </si>
  <si>
    <t>Robert C. Seacord — US — North America
Joseph P. Elm — MA — Africa
Wolfhart B. Goethert — DE — Europe
Grace A. Lewis — US — North America
Daniel Plakosh — UA — Europe
John Robert — CA — North America
Lutz Wrage — DE — Europe
Mikael Lindvall — SE — Europe
Thomas A. Schwandt — DE — Europe
Martin Michlmayr — AT — Europe
Francis Hunt — US — North America
David Probert — GB — Europe
Olli P. Timperi — FI — Europe
Colin C. Venters — US — North America
Caroline Jay — US — North America
Michael K. Griffiths — GB — Europe
Violeta Holmes — US — North America
Rupert Ward — US — North America
Jim Austin — US — North America
Charlie Dibsdale — GB — Europe
Raimund Moser — AT — Europe
Pekka Abrahamsson — SE — Europe
Witold Pedrycz — PL — Europe
Alberto Sillitti — IT — Europe
Giancarlo Succi — IT — Europe
Normand Séguin — CA — North America
Guy Tremblay — CA — North America
Houda Bagane — TN — Africa
Daniela S. Cruzes — BR — South America
T. Dyba — PL — Europe
Ann Y. E. Loh — LC — North America
Mohamed Zairi — TN — Africa
John Tripp — US — North America
Deborah J. Armstrong — US — North America
Susan C. Pearce — AU — Oceania
John Bessant — GB — Europe
E. Michael Maximilien — HT — North America
Laurie Williams — US — North America
Tom Hurlbutt — US — North America
David Lorge Parnas — BE — Europe
Mark Lawford — AU — Oceania
Barry Boehm — US — North America
Adnan Čaušević — BA — Europe
Daniel Sundmark — SE — Europe
Sasikumar Punnekkat — US — North America
Jo Erskine Hannay — NZ — Oceania
Tore Dybå — NO — Europe
Erik Arisholm — NO — Europe
Dag I. K. Sjöberg — NO — Europe
Hanna Hulkko — FI — Europe
Pekka Abrahamsson — SE — Europe
Jennifer R. Wolgemuth — US — North America
Zeynep Erdil-Moody — US — North America
Tara Opsal — NO — Europe
Jennifer E. Cross — US — North America
Tanya Kaanta — FI — Europe
Ellyn M. Dickmann — DE — Europe
Soria E. Colomer — UY — South America
Gina Venolia — ZA — Africa
Robert DeLine — CA — North America
Martin Fowler — US — North America
Tore Dybå — NO — Europe
Torgeir Dingsøyr — NO — Europe
Tom Mens — GH — Africa
Tom Tourwé — BE — Europe
Maarit Laanti — FI — Europe
Jouni Similä — FI — Europe
Pekka Abrahamsson — SE — Europe
Torgeir Dingsøyr — NO — Europe
Nils Brede Moe — NO — Europe
Murray Wood — US — North America
Gilbert Harman — US — North America
Kent Beck — US — North America
Ana Silva — MU — Africa
Thalles Araújo — BR — South America
João Nunes — PT — Europe
Mirko Perkusich — AU — Oceania
Ednaldo Dilorenzo — US — North America
Hyggo Almeida — unknown — Unknown
Ângelo Perkusich — AU — Oceania
Marta-Christina Suciu — unknown — Unknown
Benjamin Saunders — US — North America
Julius Sim — LC — North America
Tom Kingstone — NZ — Oceania
Shula Baker — US — North America
Jackie Waterfield — GB — Europe
Bernadette Bartlam — GB — Europe
Heather Burroughs — US — North America
Clare Jinks — US — North America
André M. Carvalho — PT — Europe
Paulo Sampaio — BR — South America
Eric Rebentisch — DE — Europe
João Álvaro Carvalho — PT — Europe
Pedro Saraiva — PT — Europe
Martin Fowler — US — North America
Rashina Hoda — AL — Europe
John Grundy — GB — Europe
Philipp Hohl — CH — Europe
Jil Klünder — DE — Europe
Arie van Bennekum — NL — Europe
Ryan D. Lockard — US — North America
James Gifford — US — North America
Jürgen Münch — DE — Europe
Michael Stupperich — DE — Europe
Kurt Schneider — DE — Europe
Paula Rachow — DE — Europe
Sandra Schröder — DE — Europe
Matthias Riebisch — DE — Europe
Robert Martin — US — North America
Jérôme Euzenat — FR — Europe
Asunción Gómez-Pérez — ES — Europe
Nicola Guarino — IT — Europe
Heiner Stuckenschmidt — AU — Oceania
Gloria Arcos-Medina — unknown — Unknown
David Mauricio — GT — North America
Vebjørn Berg — NO — Europe
Jørgen Birkeland — NO — Europe
Ilias O. Pappas — GR — Europe
Letizia Jaccheri — NO — Europe
Adam Alami — MA — Africa
Björn Latte — CI — Africa
Sören Henning — DE — Europe
Maik Wojcieszak — PL — Europe
Susan C. Pearce — AU — Oceania
Lech Madeyski — PL — Europe</t>
  </si>
  <si>
    <t xml:space="preserve">Norsaremah Salleh 
Jan Chong </t>
  </si>
  <si>
    <t>Reference_List2_EASE2022_Rrezarta_Krasniqi.bib</t>
  </si>
  <si>
    <t>84.18% male authors, (165)
14.80% female authors, (29)
1.02% authors of unknown gender (2)</t>
  </si>
  <si>
    <t>Men: 161 : 82.14%
Women: 35 : 17.86%</t>
  </si>
  <si>
    <t xml:space="preserve">R. C. Tausworthe - X but is M
R. Brettschneider - X but is M 
Yuan Tian - M but is W 
Dinusha Wijedasa - M but is W 
Shan Lu - M but is W 
Thazin Win Win Aung - M but is W 
Huan Huo - M but is W 
Maleknaz Nayebi - M but is W 
</t>
  </si>
  <si>
    <t xml:space="preserve">Gerald Kotonya - M 
Ian Sommerville - M 
Dumidu Wijayasekara - M 
Milos Manic - M 
Miles McQueen - M 
Katrin Erk - W 
Sebastian Padó - M 
Julian Harty - M 
Donna D. Gregorio - W 
Ronen Feldman - M 
James R. Sanger - M 
Walt Scacchi - M 
Emad Shihab - M 
Akinori Ihara - M 
Yasutaka Kamei - M 
Walid M. Ibrahim - M 
Masao Ohira - M 
Bram Adams - M 
Ahmed E. Hassan - M 
Ken-ichi Matsumoto - M 
Frederick T. Sheldon - M 
Krishna Kavi - M 
R. C. Tausworthe - M
Jinsong Yu - M 
R. Brettschneider - M
W.W. Everett - M
James Walden - M 
Jeff Stuckman - M 
Riccardo Scandariato - M 
Riccardo Scandariato - M 
James Walden - M 
Aram Hovsepyan - M 
Wouter Joosen - M 
Shahed Zaman - M
Bram Adams - M 
Ahmed E. Hassan - M 
Sari Kujala - W 
Marjo Kauppinen - W 
Laura Lehtola - W 
Tero Kojo - M 
Martin Porter - M 
Stefan Lessmann - M 
Bart Baesens - M 
Christophe Mues - M 
Swantje Pietsch - W 
Haibo He - M 
Edwardo A. Garcia - M 
Thomas M. Cover - M 
Peter E. Hart - M 
Bashar Nuseibeh - M 
Steve Easterbrook - M 
Nicholas Jalbert - M 
Westley Weimer - M
Rich Caruana - M 
Alexandru Niculescu-Mizil - M 
Edward Loper - M
Steven Bird - M 
Nicolas Bettenburg - M 
Sascha Just - M 
Adrian Schröter - M 
Cathrin Weiß - W 
Rahul Premraj - M 
Thomas Zimmermann - M 
Michael B. Twidale - M 
David M. Nichols - M 
Daniel Pletea - M 
Bogdan Vasilescu - M
Alexander Serebrenik - M 
Nitesh V. Chawla - M
Kevin W. Bowyer - M 
Lawrence Hall - M 
W. Philip Kegelmeyer - M 
Xin Xia - M 
David Lo - M
Emad Shihab - M 
Xinyu Wang - M 
Bo Zhou - M 
Vladimir Vapnik - M 
R. Geoff Dromey - M 
Walid Maalej - M 
Zijad Kurtanović - M
Hadeer Nabil - W 
Christoph Stanik - M 
Andreia Silva - W 
Plácido Rogério Pinheiro - M 
Adriano Bessa Albuquerque - M 
Jônatas Barroso - M 
Yuan Tian - W
Dinusha Wijedasa - W
David Lo - M 
Claire Le Goues - W 
Karan Aggarwal - M
Finbarr Timbers - M 
Tanner Rutgers - M 
Abram Hindle - M 
Eleni Stroulia - W 
Russell Greiner - M 
Jonas Eckhardt - M 
Andreas Vogelsang - M 
Daniel Méndez - M 
Mengmeng Lu - W 
Peng Liang - M 
Grant Williams - M
Anas Mahmoud - M 
Zijad Kurtanović - M 
Walid Maalej - M 
Rahul Gupta - M 
Jay Pujara - M 
Craig A. Knoblock - M 
Shushyam M. Sharanappa - M 
Bharat Pulavarti - M 
Gerard Hoberg - M 
Gordon Phillips - M 
Feng-Lin Li - M 
Jennifer Horkoff - W 
Alexander Borgida - M 
Giancarlo Guizzardi - M 
Lin Liu - W 
John Mylopoulos - M 
Michael Rath - M 
David Lo - M 
Patrick Mäder - M 
Katerina Goševa-Popstojanova - W 
Jacob Tyo - M 
Chong Wang - M 
Fan Zhang - M 
Peng Liang - M 
Maya Daneva - W 
Marten van Sinderen - M 
Oscar Chaparro - M 
Juan Manuel Florez - M 
Andrian Marcus - M 
Nishant Jha - M 
Anas Mahmoud - M 
Guoliang Jin - M 
Linhai Song - M 
Xiaoming Shi - M
Joel Scherpelz - M 
Shan Lu - W
Rrezarta Krasniqi - W 
Jane Cleland‐Huang - W
Larissa Chazette - W 
Kurt Schneider - M 
Jingwei Yang - M 
Lin Liu - W 
Reinhard Stoiber - M 
Jayalath Ekanayake - M 
Cristina Palomares - W 
Xavier Franch - M 
Carme Quer - W 
Panagiota Chatzipetrou - W
Lidia López - W 
Tony Gorschek - M 
Rrezarta Krasniqi - W
A.K. Agrawal - M 
Thazin Win Win Aung - W
Yao Wan - M 
Huan Huo - W
Yulei Sui - M 
Arun K. Somani - M 
Sumit Srivastava - M 
Ankit Mundra - M 
Sanyog Rawat - M 
Haruna Isotani - M 
Hironori Washizaki - M 
Yoshiaki Fukazawa - M 
Tsutomu Nomoto - M 
Saori Ouji - W
Shinobu SAITO - M 
Colin Boyd - M 
Juan González Nieto - M 
Lawrence Chung - M 
Julio César Sampaio do Prado Leite - M 
Stefan Wagner - M 
Daniel Méndez - M 
Michael Felderer - M 
Antonio Vetrò - M 
Marcos Kalinowski - M 
Roel Wieringa - M 
Dietmar Pfahl - M 
Tayana Conte - W 
Marie-Therese Christiansson - W 
Des Greer - M 
Casper Lassenius - M 
Tomi Männistö - M 
Maleknaz Nayebi - W
Markku Oivo - M 
Birgit Penzenstadler - W 
Rafael Prikladnicki - M 
Guenther Ruhe - M 
André Schekelmann - M 
Sagar Sen - M 
Rodrigo Spínola - M 
Ahmed Tuzcu - M 
José Luis de la Vara - M 
Dietmar Winkler - M 
</t>
  </si>
  <si>
    <t>Gerald Kotonya	KE
Ian Sommerville	JM
Dumidu Wijayasekara	LK
Milos Manic	RS
Miles McQueen	US
Katrin Erk	TR
Sebastian PadÃ³	unknown
Julian Harty	IE
Donna D. Gregorio	PH
Ronen Feldman	IL
James R. Sanger	US
Walt Scacchi	IT
Emad Shihab	BD
Akinori Ihara	JP
Yasutaka Kamei	JP
Walid M. Ibrahim	NG
Masao Ohira	JP
Bram Adams	US
Ahmed E. Hassan	PK
Ken-ichi Matsumoto	JP
Frederick T. Sheldon	US
Krishna Kavi	IN
R. C. Tausworthe	US
Jinsong Yu	CN
R. Brettschneider	DE
W.W. Everett	US
James Walden	US
Jeff Stuckman	US
Riccardo Scandariato	IT
Riccardo Scandariato	IT
James Walden	US
Aram Hovsepyan	AM
Wouter Joosen	NL
Shahed Zaman	BD
Bram Adams	US
Ahmed E. Hassan	PK
Sari Kujala	FI
Marjo Kauppinen	FI
Laura Lehtola	FI
Tero Kojo	GH
Martin Porter	US
Stefan Lessmann	DE
Bart Baesens	BE
Christophe Mues	BE
Swantje Pietsch	DE
Haibo He	CN
Edwardo A. Garcia	GT
Thomas M. Cover	JM
Peter E. Hart	US
Bashar Nuseibeh	JO
Steve Easterbrook	NZ
Nicholas Jalbert	CA
Westley Weimer	US
Rich Caruana	MT
Alexandru Niculescu-Mizil	RO
Edward Loper	US
Steven Bird	US
Nicolas Bettenburg	US
Sascha Just	DK
Adrian SchrÃ¶ter	DE
Cathrin WeiÃŸ	DE
Rahul Premraj	LC
Thomas Zimmermann	DE
Michael B. Twidale	AU
David M. Nichols	US
Daniel Pletea	RO
Bogdan Vasilescu	RO
Alexander Serebrenik	IL
Nitesh V. Chawla	IN
Kevin W. Bowyer	GB
Lawrence Hall	GB
W. Philip Kegelmeyer	US
Xin Xia	CN
David Lo	MY
Emad Shihab	BD
Xinyu Wang	US
Bo Zhou	CN
Vladimir Vapnik	IL
R. Geoff Dromey	IE
Walid Maalej	TN
Zijad KurtanoviÄ‡	BA
Hadeer Nabil	EG
Christoph Stanik	PL
Andreia Silva	MU
PlÃ¡cido RogÃ©rio Pinheiro	PT
Adriano Bessa Albuquerque	BR
JÃ´natas Barroso	PT
Yuan Tian	CN
Dinusha Wijedasa	LK
David Lo	MY
Claire Le Goues	FR
Karan Aggarwal	IN
Finbarr Timbers	NZ
Tanner Rutgers	NL
Abram Hindle	GB
Eleni Stroulia	GR
Russell Greiner	AT
Jonas Eckhardt	DE
Andreas Vogelsang	DE
Daniel MÃ©ndez	UY
Mengmeng Lu	TW
Peng Liang	SG
Grant Williams	JM
Anas Mahmoud	EG
Zijad KurtanoviÄ‡	BA
Walid Maalej	TN
Rahul Gupta	IE
Jay Pujara	IN
Craig A. Knoblock	US
Shushyam M. Sharanappa	IN
Bharat Pulavarti	IN
Gerard Hoberg	DK
Gordon Phillips	US
Feng-Lin Li	CN
Jennifer Horkoff	CA
Alexander Borgida	US
Giancarlo Guizzardi	IT
Lin Liu	PA
John Mylopoulos	GR
Michael Rath	AT
David Lo	MY
Patrick MÃ¤der	CH
Katerina GoÅ¡eva-Popstojanova	unknown
Jacob Tyo	ID
Chong Wang	PA
Fan Zhang	US
Peng Liang	SG
Maya Daneva	BG
Marten van Sinderen	NL
Oscar Chaparro	CO
Juan Manuel Florez	CO
Andrian Marcus	ID
Nishant Jha	IN
Anas Mahmoud	EG
Guoliang Jin	CN
Linhai Song	KR
Xiaoming Shi	CN
Joel Scherpelz	US
Shan Lu	TW
Rrezarta Krasniqi	SI
Jane Cleland-Huang	US
Larissa Chazette	FR
Kurt Schneider	DE
Jingwei Yang	CN
Lin Liu	PA
Reinhard Stoiber	AT
Jayalath Ekanayake	LK
Cristina Palomares	MX
Xavier Franch	ES
Carme Quer	ES
Panagiota Chatzipetrou	GR
Lidia LÃ³pez	MX
Tony Gorschek	AT
Rrezarta Krasniqi	SI
A.K. Agrawal	IN
Thazin Win Win Aung	MM
Yao Wan	SG
Huan Huo	CN
Yulei Sui	CN
Arun K. Somani	IN
Sumit Srivastava	IN
Ankit Mundra	IN
Sanyog Rawat	IN
Haruna Isotani	JP
Hironori Washizaki	JP
Yoshiaki Fukazawa	JP
Tsutomu Nomoto	JP
Saori Ouji	TN
Shinobu SAITO	JP
Colin Boyd	US
Juan GonzÃ¡lez Nieto	PA
Lawrence Chung	HK
Julio CÃ©sar Sampaio do Prado Leite	BR
Stefan Wagner	AT
Daniel MÃ©ndez	UY
Michael Felderer	AT
Antonio VetrÃ²	IT
Marcos Kalinowski	PL
Roel Wieringa	NL
Dietmar Pfahl	DE
Tayana Conte	IT
Marie-Therese Christiansson	SE
Des Greer	US
Casper Lassenius	FI
Tomi MÃ¤nnistÃ¶	FI
Maleknaz Nayebi	IR
Markku Oivo	FI
Birgit Penzenstadler	AT
Rafael Prikladnicki	BR
Guenther Ruhe	DE
AndrÃ© Schekelmann	DE
Sagar Sen	IN
Rodrigo SpÃ­nola	PT
Ahmed Tuzcu	TR
JosÃ© Luis de la Vara	PE
Dietmar Winkler	AT</t>
  </si>
  <si>
    <t>Gerald Kotonya – Africa
Ian Sommerville – North America
Dumidu Wijayasekara – Asia
Milos Manic – Europe
Miles McQueen – North America
Katrin Erk – Asia
Sebastian Padó – Unknown
Julian Harty – Europe
Donna D. Gregorio – Asia
Ronen Feldman – Asia
James R. Sanger – North America
Walt Scacchi – Europe
Emad Shihab – Asia
Akinori Ihara – Asia
Yasutaka Kamei – Asia
Walid M. Ibrahim – Africa
Masao Ohira – Asia
Bram Adams – North America
Ahmed E. Hassan – Asia
Ken-ichi Matsumoto – Asia
Frederick T. Sheldon – North America
Krishna Kavi – Asia
R. C. Tausworthe – North America
Jinsong Yu – Asia
R. Brettschneider – Europe
W.W. Everett – North America
James Walden – North America
Jeff Stuckman – North America
Riccardo Scandariato – Europe
Riccardo Scandariato – Europe
James Walden – North America
Aram Hovsepyan – Asia
Wouter Joosen – Europe
Shahed Zaman – Asia
Bram Adams – North America
Ahmed E. Hassan – Asia
Sari Kujala – Europe
Marjo Kauppinen – Europe
Laura Lehtola – Europe
Tero Kojo – Africa
Martin Porter – North America
Stefan Lessmann – Europe
Bart Baesens – Europe
Christophe Mues – Europe
Swantje Pietsch – Europe
Haibo He – Asia
Edwardo A. Garcia – North America
Thomas M. Cover – North America
Peter E. Hart – North America
Bashar Nuseibeh – Asia
Steve Easterbrook – Oceania
Nicholas Jalbert – North America
Westley Weimer – North America
Rich Caruana – Europe
Alexandru Niculescu-Mizil – Europe
Edward Loper – North America
Steven Bird – North America
Nicolas Bettenburg – North America
Sascha Just – Europe
Adrian Schröter – Europe
Cathrin Weiß – Europe
Rahul Premraj – North America
Thomas Zimmermann – Europe
Michael B. Twidale – Oceania
David M. Nichols – North America
Daniel Pletea – Europe
Bogdan Vasilescu – Europe
Alexander Serebrenik – Asia
Nitesh V. Chawla – Asia
Kevin W. Bowyer – Europe
Lawrence Hall – Europe
W. Philip Kegelmeyer – North America
Xin Xia – Asia
David Lo – Asia
Emad Shihab – Asia
Xinyu Wang – North America
Bo Zhou – Asia
Vladimir Vapnik – Asia
R. Geoff Dromey – Europe
Walid Maalej – Africa
Zijad Kurtanović – Europe
Hadeer Nabil – Africa
Christoph Stanik – Europe
Andreia Silva – Africa
Plácido Rogério Pinheiro – Europe
Adriano Bessa Albuquerque – South America
Jônatas Barroso – Europe
Yuan Tian – Asia
Dinusha Wijedasa – Asia
David Lo – Asia
Claire Le Goues – Europe
Karan Aggarwal – Asia
Finbarr Timbers – Oceania
Tanner Rutgers – Europe
Abram Hindle – Europe
Eleni Stroulia – Europe
Russell Greiner – Europe
Jonas Eckhardt – Europe
Andreas Vogelsang – Europe
Daniel Méndez – South America
Mengmeng Lu – Asia
Peng Liang – Asia
Grant Williams – North America
Anas Mahmoud – Africa
Zijad Kurtanović – Europe
Walid Maalej – Africa
Rahul Gupta – Europe
Jay Pujara – Asia
Craig A. Knoblock – North America
Shushyam M. Sharanappa – Asia
Bharat Pulavarti – Asia
Gerard Hoberg – Europe
Gordon Phillips – North America
Feng-Lin Li – Asia
Jennifer Horkoff – North America
Alexander Borgida – North America
Giancarlo Guizzardi – Europe
Lin Liu – North America
John Mylopoulos – Europe
Michael Rath – Europe
David Lo – Asia
Patrick Mäder – Europe
Katerina Goševa-Popstojanova – Unknown
Jacob Tyo – Asia
Chong Wang – North America
Fan Zhang – North America
Peng Liang – Asia
Maya Daneva – Europe
Marten van Sinderen – Europe
Oscar Chaparro – South America
Juan Manuel Florez – South America
Andrian Marcus – Asia
Nishant Jha – Asia
Anas Mahmoud – Africa
Guoliang Jin – Asia
Linhai Song – Asia
Xiaoming Shi – Asia
Joel Scherpelz – North America
Shan Lu – Asia
Rrezarta Krasniqi – Europe
Jane Cleland-Huang – North America
Larissa Chazette – Europe
Kurt Schneider – Europe
Jingwei Yang – Asia
Lin Liu – North America
Reinhard Stoiber – Europe
Jayalath Ekanayake – Asia
Cristina Palomares – North America
Xavier Franch – Europe
Carme Quer – Europe
Panagiota Chatzipetrou – Europe
Lidia López – North America
Tony Gorschek – Europe
Rrezarta Krasniqi – Europe
A.K. Agrawal – Asia
Thazin Win Win Aung – Asia
Yao Wan – Asia
Huan Huo – Asia
Yulei Sui – Asia
Arun K. Somani – Asia
Sumit Srivastava – Asia
Ankit Mundra – Asia
Sanyog Rawat – Asia
Haruna Isotani – Asia
Hironori Washizaki – Asia
Yoshiaki Fukazawa – Asia
Tsutomu Nomoto – Asia
Saori Ouji – Africa
Shinobu Saito – Asia
Colin Boyd – North America
Juan González Nieto – North America
Lawrence Chung – Asia
Julio César Sampaio do Prado Leite – South America
Stefan Wagner – Europe
Daniel Méndez – South America
Michael Felderer – Europe
Antonio Vetrò – Europe
Marcos Kalinowski – Europe
Roel Wieringa – Europe
Dietmar Pfahl – Europe
Tayana Conte – Europe
Marie-Therese Christiansson – Europe
Des Greer – North America
Casper Lassenius – Europe
Tomi Männistö – Europe
Maleknaz Nayebi – Asia
Markku Oivo – Europe
Birgit Penzenstadler – Europe
Rafael Prikladnicki – South America
Guenther Ruhe – Europe
André Schekelmann – Europe
Sagar Sen – Asia
Rodrigo Spínola – Europe
Ahmed Tuzcu – Asia
José Luis de la Vara – South America
Dietmar Winkler – Europe</t>
  </si>
  <si>
    <t>Dumidu Wijayasekara – Asia
Katrin Erk – Asia
Donna D. Gregorio – Asia
Ronen Feldman – Asia
Emad Shihab – Asia
Akinori Ihara – Asia
Yasutaka Kamei – Asia
Masao Ohira – Asia
Ahmed E. Hassan – Asia
Ken-ichi Matsumoto – Asia
Krishna Kavi – Asia
Jinsong Yu – Asia
Aram Hovsepyan – Asia
Shahed Zaman – Asia
Ahmed E. Hassan – Asia
Haibo He – Asia
Bashar Nuseibeh – Asia
Alexander Serebrenik – Asia
Nitesh V. Chawla – Asia
Xin Xia – Asia
David Lo – Asia
Emad Shihab – Asia
Bo Zhou – Asia
Vladimir Vapnik – Asia
Yuan Tian – Asia
Dinusha Wijedasa – Asia
David Lo – Asia
Karan Aggarwal – Asia
Mengmeng Lu – Asia
Peng Liang – Asia
Jay Pujara – Asia
Shushyam M. Sharanappa – Asia
Bharat Pulavarti – Asia
Feng-Lin Li – Asia
David Lo – Asia
Jacob Tyo – Asia
Peng Liang – Asia
Andrian Marcus – Asia
Nishant Jha – Asia
Guoliang Jin – Asia
Linhai Song – Asia
Xiaoming Shi – Asia
Shan Lu – Asia
Jingwei Yang – Asia
Jayalath Ekanayake – Asia
A.K. Agrawal – Asia
Thazin Win Win Aung – Asia
Yao Wan – Asia
Huan Huo – Asia
Yulei Sui – Asia
Arun K. Somani – Asia
Sumit Srivastava – Asia
Ankit Mundra – Asia
Sanyog Rawat – Asia
Haruna Isotani – Asia
Hironori Washizaki – Asia
Yoshiaki Fukazawa – Asia
Tsutomu Nomoto – Asia
Shinobu Saito – Asia
Lawrence Chung – Asia
Maleknaz Nayebi – Asia
Sagar Sen – Asia
Ahmed Tuzcu – Asia</t>
  </si>
  <si>
    <t>Gerald Kotonya – Africa
Ian Sommerville – North America
Milos Manic – Europe
Miles McQueen – North America
Sebastian Padó – Unknown
Julian Harty – Europe
James R. Sanger – North America
Walt Scacchi – Europe
Walid M. Ibrahim – Africa
Bram Adams – North America
Frederick T. Sheldon – North America
R. C. Tausworthe – North America
R. Brettschneider – Europe
W.W. Everett – North America
James Walden – North America
Jeff Stuckman – North America
Riccardo Scandariato – Europe
Riccardo Scandariato – Europe
James Walden – North America
Wouter Joosen – Europe
Bram Adams – North America
Sari Kujala – Europe
Marjo Kauppinen – Europe
Laura Lehtola – Europe
Tero Kojo – Africa
Martin Porter – North America
Stefan Lessmann – Europe
Bart Baesens – Europe
Christophe Mues – Europe
Swantje Pietsch – Europe
Edwardo A. Garcia – North America
Thomas M. Cover – North America
Peter E. Hart – North America
Steve Easterbrook – Oceania
Nicholas Jalbert – North America
Westley Weimer – North America
Rich Caruana – Europe
Alexandru Niculescu-Mizil – Europe
Edward Loper – North America
Steven Bird – North America
Nicolas Bettenburg – North America
Sascha Just – Europe
Adrian Schröter – Europe
Cathrin Weiß – Europe
Rahul Premraj – North America
Thomas Zimmermann – Europe
Michael B. Twidale – Oceania
David M. Nichols – North America
Daniel Pletea – Europe
Bogdan Vasilescu – Europe
Kevin W. Bowyer – Europe
Lawrence Hall – Europe
W. Philip Kegelmeyer – North America
Xinyu Wang – North America
R. Geoff Dromey – Europe
Walid Maalej – Africa
Zijad Kurtanović – Europe
Hadeer Nabil – Africa
Christoph Stanik – Europe
Andreia Silva – Africa
Plácido Rogério Pinheiro – Europe
Adriano Bessa Albuquerque – South America
Jônatas Barroso – Europe
Claire Le Goues – Europe
Finbarr Timbers – Oceania
Tanner Rutgers – Europe
Abram Hindle – Europe
Eleni Stroulia – Europe
Russell Greiner – Europe
Jonas Eckhardt – Europe
Andreas Vogelsang – Europe
Daniel Méndez – South America
Grant Williams – North America
Anas Mahmoud – Africa
Zijad Kurtanović – Europe
Walid Maalej – Africa
Rahul Gupta – Europe
Craig A. Knoblock – North America
Gerard Hoberg – Europe
Gordon Phillips – North America
Jennifer Horkoff – North America
Alexander Borgida – North America
Giancarlo Guizzardi – Europe
Lin Liu – North America
John Mylopoulos – Europe
Michael Rath – Europe
Patrick Mäder – Europe
Katerina Goševa-Popstojanova – Unknown
Chong Wang – North America
Fan Zhang – North America
Maya Daneva – Europe
Marten van Sinderen – Europe
Oscar Chaparro – South America
Juan Manuel Florez – South America
Anas Mahmoud – Africa
Joel Scherpelz – North America
Rrezarta Krasniqi – Europe
Jane Cleland-Huang – North America
Larissa Chazette – Europe
Kurt Schneider – Europe
Lin Liu – North America
Reinhard Stoiber – Europe
Cristina Palomares – North America
Xavier Franch – Europe
Carme Quer – Europe
Panagiota Chatzipetrou – Europe
Lidia López – North America
Tony Gorschek – Europe
Rrezarta Krasniqi – Europe
Saori Ouji – Africa
Colin Boyd – North America
Juan González Nieto – North America
Julio César Sampaio do Prado Leite – South America
Stefan Wagner – Europe
Daniel Méndez – South America
Michael Felderer – Europe
Antonio Vetrò – Europe
Marcos Kalinowski – Europe
Roel Wieringa – Europe
Dietmar Pfahl – Europe
Tayana Conte – Europe
Marie-Therese Christiansson – Europe
Des Greer – North America
Casper Lassenius – Europe
Tomi Männistö – Europe
Markku Oivo – Europe
Birgit Penzenstadler – Europe
Rafael Prikladnicki – South America
Guenther Ruhe – Europe
André Schekelmann – Europe
Rodrigo Spínola – Europe
José Luis de la Vara – South America
Dietmar Winkler – Europe</t>
  </si>
  <si>
    <t>Yuan Tian
Dinusha Wijedasa
Shan Lu
Thazin Win Win Aung
Huan Huo
Maleknaz Nayebi</t>
  </si>
  <si>
    <t>6 from 8</t>
  </si>
  <si>
    <t>Reference_List2_EASE2023_Carl_Smestad.bib</t>
  </si>
  <si>
    <t>76.75% male authors, (208)
21.03% female authors, (57)
2.21% authors of unknown gender. (6)</t>
  </si>
  <si>
    <t>Men : 79.70% (216)
Women: 20.29% (55)</t>
  </si>
  <si>
    <t xml:space="preserve">Iflaah Salman - M but is W
Li Tian - M but is W
Tian Li - M is W
Sawsan AbdulRahman - M is W
Weiwei Lin - W but is M
Keqin Li - W is M
Weiwei Lin - W is M
Keqin Li - W is M
Weiwei Lin - W is M
Fang Shi - M but is W
Fang Shi - M but is W
Weiwei Lin - W is M
Haneul Ko - W but is M
Qinghua Hu - W but is M
Chenning Li - X but is M
Mi Zhang - W but is M
Yusheng Ji - M but is W
Xiwei Xu - M but is W
Jie Zhang - M but is W
Zitian Peng - M but is W
Yae Jee Cho - M is W
Shulai Zhang - X but is M
Wenli Zheng - W but is M
Jingwen Leng - W but is M
Minyi Guo - W is M
Yao Liu - M is W
Jianshan Chen - X is M
Haneul Ko - W is M
Huaqing Wu - M is W
Xuemin Shen - W is M
Zonghang Li - W but is M
Hongfang Yu - X is W
Jiawen Kang - W is M
Inaam Ilahi - X is M
Inaam Ilahi - X but is M 
</t>
  </si>
  <si>
    <t>Claes Wohlin - M 
Tobias Berg - M 
Martijn W. Heymans - M 
Stephanie S. Leone - W 
David Vergouw - M 
Jill A. Hayden - W 
Arianne P. Verhagen - W 
Henrica C. W. de Vet - W 
Michael Feldman - M 
Rahul Mohanani - M 
Iflaah Salman - W 
Burak Turhan - M 
Pilar Rodríguez - W 
Paul Ralph - M 
Li Tian - W 
Maziar Sanjabi - M 
Ahmad Beirami - M 
Virginia Smith - W 
Tian Li - W 
Anit Kumar Sahu - M 
Ameet Talwalkar - M 
Virginia Smith - W 
Qunsong Zeng - M 
Yuqing Du - W 
Kaibin Huang - M 
Kin K. Leung - M 
Yuwei Wang - M 
Burak Kantarcı - M 
Sawsan AbdulRahman - W 
Hanine Tout - W 
Azzam Mourad - M 
Chamseddine Talhi - M 
Jie Xu - M 
Heqiang Wang - M 
Tiansheng Huang - M 
Weiwei Lin - M 
Li Shen - M 
Keqin Li - M 
Albert Y. Zomaya - M 
Takayuki Nishio - M 
Ryo Yonetani - M 
Tiansheng Huang - M 
Weiwei Lin - M 
Wentai Wu - M 
Ligang He - M 
Keqin Li - M 
Albert Y. Zomaya - M 
Yi Liu - M 
Li Zhang - W 
Ning Ge - W 
Guanghao Li - M 
Sin Kit Lo - M 
Qinghua Lu - W 
Liming Zhu - M 
Hye-Young Paik - W 
Xiwei Xu - W 
Chen Wang - M 
Wenyu Zhang - W 
Xiumin Wang - W 
Pan Zhou - M 
Weiwei Wu - W 
Xinglin Zhang - M 
Dongkun Hou - M 
Jie Zhang - W 
Ka Lok Man - M 
Jieming Ma - M 
Zitian Peng - W 
Bjarne Pfitzner - M 
Nico Steckhan - M 
Bert Arnrich - M 
M. Jack Anderson - M 
Yae Jee Cho - M is W 
Samarth Gupta - M 
Gauri Joshi - W 
Osman Yağan - M 
Hangjia Zhang - M 
Zhijun Xie - M 
Roozbeh Zarei - M 
Tao Wu - M 
Kewei Chen - M 
Liangkun Yu - M 
Rana Albelaihi - W 
Xiang Sun - M 
Nirwan Ansari - M 
Michael Devetsikiotis - M 
Shulai Zhang - M 
Zirui Li - M 
Quan Chen - M 
Wenli Zheng - M 
Jingwen Leng - M 
Minyi Guo - W is M 
Asad Ali - M 
Inaam Ilahi - M 
Adnan Qayyum - M 
Ihab Mohammed - M 
Ala Al‐Fuqaha - W 
Junaid Qadir - M 
Jiahua Ma - M 
Xinghua Sun - M 
Wenchao Xia - M 
Xijun Wang - M 
Xiang Chen - M 
Hongbo Zhu - M 
Muhammad Asad - M 
Ahmed Moustafa - M 
Fethi Rabhi - M 
Muhammad Aslam - M 
Miao Yang - W 
Hua Qian - M 
Ximin Wang - M 
Yong Zhou - M 
Hongbin Zhu - M 
Zhe Qu - M 
Rui Duan - M 
Lixing Chen - M 
Jie Xu - M 
Zhuo Lu - M 
Yao Liu - W 
Yingya Guo - W 
Kai Huang - M 
Jianshan Chen - M 
Haneul Ko - M 
Jaewook Lee - M 
Sangwon Seo - M 
Sangheon Pack - M 
Victor C. M. Leung - M 
Yongheng Deng - M 
Feng Lyu - M 
Ju Ren - M 
Huaqing Wu - W 
Yuezhi Zhou - M 
Yaoxue Zhang - M 
Xuemin Shen - M 
Haftay Gebreslasie Abreha - M 
Mohammad Hayajneh - M 
Mohamed Adel Serhani - M 
Jie Xu - M 
Heqiang Wang - M 
Minoo Hosseinzadeh - W 
Nathaniel Hudson - M 
Sam Heshmati - M 
Hana Khamfroush - W 
Momina Shaheen - W 
Muhammad Shoaib Farooq - M 
T. Umer - M 
Byung-Seo Kim - M 
Sumit Rai - M 
Arti Kumari - W 
Dilip K. Prasad - M 
Rodolfo Stoffel Antunes - M 
Cristiano André da Costa - M 
Arne Küderle - M 
Imrana Abdullahi Yari - M 
Bjoern M. Eskofier - M 
Zonghang Li - M 
Yihong He - W 
Hongfang Yu - W 
Jiawen Kang - M 
Xiaoping Li - M 
Zenglin Xu - M 
Dusit Niyato - M 
Weiwei Lin - M 
Yinhai Xu - M 
Bo Liu - M 
Dongdong Li - M 
Tiansheng Huang - M 
Fang Shi - W 
Mehdi Hosseinzadeh - M 
Atefeh Hemmati - W 
Amir Masoud Rahmani - M 
Abdullatif Albaseer - M 
Mohamed Abdallah - M 
Ala Al‐Fuqaha - W 
Aiman Erbad - M 
Xiaodong Ma - M 
Jia Zhu - W 
Zhihao Lin - M 
Shanxuan Chen - M 
Yangjie Qin - M 
Asad Ali - M 
Inaam Ilahi - M 
Adnan Qayyum - M 
Ihab Mohammed - M 
Ala Al‐Fuqaha - W 
Junaid Qadir - M 
Leon Witt - M 
Mathis Heyer - M 
Kentaroh Toyoda - M 
Wojciech Samek - M 
Dan Li - M 
Wei Wan - M 
Shengshan Hu - M 
Jianrong Lu - M 
Leo Yu Zhang - M 
Hai Jin - M 
Yuanyuan He - W 
Hongbin Zhu - M 
Yong Zhou - M 
Hua Qian - M 
Yuanming Shi - M 
Xu Chen - M 
Yang Yang - M 
Jinlong Pang - M 
Jieling Yu - W 
Ruiting Zhou - W 
John C. S. Lui - M 
Xavier Tan - M 
Wei Chong Ng - M 
Wei Yang Bryan Lim - M 
Zehui Xiong - M 
Dusit Niyato - M 
Han Yu - M 
Sin Kit Lo - M 
Qinghua Lu - W 
Chen Wang - M 
Hye-Young Paik - W 
Liming Zhu - M 
Fang Shi - W 
Chunchao Hu - M 
Weiwei Lin - M 
Lisheng Fan - M 
Tiansheng Huang - M 
Wentai Wu - M 
Jaewook Lee - M 
Haneul Ko - M 
Sangwon Seo - M 
Sangheon Pack - M 
Pengfei Li - M 
Yunfeng Zhao - M 
Liandong Chen - M 
Kai Cheng - M 
Chuyue Xie - W 
Xiaofei Wang - M 
Qinghua Hu - M 
Tingting Liu - W 
Haibo Zhou - M 
Jun Li - M 
Feng Shu - M 
Zhu Han - M 
Chenning Li - M 
Xiao Zeng - M 
Mi Zhang - M 
Zhichao Cao - M 
Zhaoyang Du - M 
Celimuge Wu - M 
Tsutomu Yoshinage - M 
Lei Zhong - M 
Yusheng Ji - W 
Wei Wan - M 
Shengshan Hu - M 
Jianrong Lu - M 
Leo Yu Zhang - M 
Hai Jin - M 
Yuanyuan He - W 
Leon Witt - M 
Mathis Heyer - M 
Kentaroh Toyoda - M 
Wojciech Samek - M 
Dan Li - M 
Rituparna Saha - W 
Sudip Misra - M 
Aishwariya Chakraborty - W 
Chandranath Chatterjee - M 
Pallav Kumar Deb - M 
H. Brendan McMahan - M 
Eider Moore - M 
Daniel Ramage - M 
Seth Hampson - M 
Blaise Agüera y Arcas - M 
Julian P. T. Higgins - M 
Sally Green - W</t>
  </si>
  <si>
    <t>Claes Wohlin	SE
Tobias Berg	NO
Martijn W. Heymans	BE
Stephanie S. Leone	IT
David Vergouw	NL
Jill A. Hayden	IE
Arianne P. Verhagen	NL
Henrica C. W. de Vet	NL
Michael Feldman	IL
Rahul Mohanani	AE
Iflaah Salman	BH
Burak Turhan	TR
Pilar RodrÃ­guez	ES
Paul Ralph	BD
Li Tian	MY
Maziar Sanjabi	IR
Ahmad Beirami	IR
Virginia Smith	US
Tian Li	SG
Anit Kumar Sahu	IN
Ameet Talwalkar	IN
Virginia Smith	US
Qunsong Zeng	CN
Yuqing Du	CN
Kaibin Huang	TW
Kin K. Leung	HK
Yuwei Wang	CN
Burak KantarcÄ±	TR
Sawsan AbdulRahman	EG
Hanine Tout	DZ
Azzam Mourad	LB
Chamseddine Talhi	DZ
Jie Xu	CN
Heqiang Wang	CN
Tiansheng Huang	TW
Weiwei Lin	TW
Li Shen	SG
Keqin Li	CN
Albert Y. Zomaya	AU
Takayuki Nishio	JP
Ryo Yonetani	JP
Tiansheng Huang	TW
Weiwei Lin	TW
Wentai Wu	TW
Ligang He	CN
Keqin Li	CN
Albert Y. Zomaya	AU
Yi Liu	CA
Li Zhang	PA
Ning Ge	CN
Guanghao Li	CN
Sin Kit Lo	HK
Qinghua Lu	TW
Liming Zhu	CN
Hye-Young Paik	KR
Xiwei Xu	CN
Chen Wang	PA
Wenyu Zhang	CN
Xiumin Wang	CN
Pan Zhou	CN
Weiwei Wu	TW
Xinglin Zhang	CN
Dongkun Hou	CN
Jie Zhang	CN
Ka Lok Man	HK
Jieming Ma	CN
Zitian Peng	CN
Bjarne Pfitzner	DE
Nico Steckhan	DE
Bert Arnrich	DE
M. Jack Anderson	US
Yae Jee Cho	KR
Samarth Gupta	IN
Gauri Joshi	CA
Osman YaÄŸan	TR
Hangjia Zhang	CN
Zhijun Xie	CN
Roozbeh Zarei	IR
Tao Wu	CN
Kewei Chen	TW
Liangkun Yu	CN
Rana Albelaihi	SA
Xiang Sun	CN
Nirwan Ansari	QA
Michael Devetsikiotis	US
Shulai Zhang	CN
Zirui Li	CN
Quan Chen	TW
Wenli Zheng	CN
Jingwen Leng	LC
Minyi Guo	CN
Asad Ali	OM
Inaam Ilahi	TN
Adnan Qayyum	PK
Ihab Mohammed	GH
Ala Alâ€Fuqaha	unknown
Junaid Qadir	PK
Jiahua Ma	CN
Xinghua Sun	CN
Wenchao Xia	CN
Xijun Wang	CN
Xiang Chen	ES
Hongbo Zhu	CN
Muhammad Asad	BH
Ahmed Moustafa	EG
Fethi Rabhi	TN
Muhammad Aslam	SA
Miao Yang	CN
Hua Qian	SG
Ximin Wang	CN
Yong Zhou	CN
Hongbin Zhu	CN
Zhe Qu	CN
Rui Duan	CN
Lixing Chen	TW
Jie Xu	CN
Zhuo Lu	TW
Yao Liu	TW
Yingya Guo	CN
Kai Huang	TW
Jianshan Chen	TW
Haneul Ko	HK
Jaewook Lee	KR
Sangwon Seo	KR
Sangheon Pack	US
Victor C. M. Leung	HK
Yongheng Deng	CN
Feng Lyu	CN
Ju Ren	CN
Huaqing Wu	TW
Yuezhi Zhou	CN
Yaoxue Zhang	CN
Xuemin Shen	CN
Haftay Gebreslasie Abreha	ET
Mohammad Hayajneh	JO
Mohamed Adel Serhani	MA
Jie Xu	CN
Heqiang Wang	CN
Minoo Hosseinzadeh	IR
Nathaniel Hudson	US
Sam Heshmati	IR
Hana Khamfroush	IR
Momina Shaheen	PS
Muhammad Shoaib Farooq	PK
T. Umer	CZ
Byung-Seo Kim	unknown
Sumit Rai	MY
Arti Kumari	IN
Dilip K. Prasad	IN
Rodolfo Stoffel Antunes	CH
Cristiano AndrÃ© da Costa	PT
Arne KÃ¼derle	DE
Imrana Abdullahi Yari	NG
Bjoern M. Eskofier	DE
Zonghang Li	CN
Yihong He	CN
Hongfang Yu	CN
Jiawen Kang	KR
Xiaoping Li	CN
Zenglin Xu	CN
Dusit Niyato	TH
Weiwei Lin	TW
Yinhai Xu	CN
Bo Liu	CN
Dongdong Li	CN
Tiansheng Huang	TW
Fang Shi	CN
Mehdi Hosseinzadeh	IR
Atefeh Hemmati	IR
Amir Masoud Rahmani	AF
Abdullatif Albaseer	LY
Mohamed Abdallah	DJ
Ala Alâ€Fuqaha	unknown
Aiman Erbad	QA
Xiaodong Ma	CN
Jia Zhu	SG
Zhihao Lin	TW
Shanxuan Chen	TW
Yangjie Qin	CN
Asad Ali	OM
Inaam Ilahi	TN
Adnan Qayyum	PK
Ihab Mohammed	GH
Ala Alâ€Fuqaha	unknown
Junaid Qadir	PK
Leon Witt	US
Mathis Heyer	DE
Kentaroh Toyoda	JP
Wojciech Samek	CZ
Dan Li	CN
Wei Wan	SG
Shengshan Hu	CN
Jianrong Lu	TW
Leo Yu Zhang	CN
Hai Jin	CN
Yuanyuan He	CN
Hongbin Zhu	CN
Yong Zhou	CN
Hua Qian	SG
Yuanming Shi	CN
Xu Chen	SG
Yang Yang	SG
Jinlong Pang	HK
Jieling Yu	CN
Ruiting Zhou	CN
John C. S. Lui	HK
Xavier Tan	MY
Wei Chong Ng	HK
Wei Yang Bryan Lim	CN
Zehui Xiong	CN
Dusit Niyato	TH
Han Yu	SG
Sin Kit Lo	HK
Qinghua Lu	TW
Chen Wang	PA
Hye-Young Paik	KR
Liming Zhu	CN
Fang Shi	CN
Chunchao Hu	CN
Weiwei Lin	TW
Lisheng Fan	CN
Tiansheng Huang	TW
Wentai Wu	TW
Jaewook Lee	KR
Haneul Ko	HK
Sangwon Seo	KR
Sangheon Pack	US
Pengfei Li	CN
Yunfeng Zhao	CN
Liandong Chen	TW
Kai Cheng	SG
Chuyue Xie	CN
Xiaofei Wang	LC
Qinghua Hu	CN
Tingting Liu	CN
Haibo Zhou	CN
Jun Li	SG
Feng Shu	CN
Zhu Han	CN
Chenning Li	CN
Xiao Zeng	CN
Mi Zhang	CN
Zhichao Cao	CN
Zhaoyang Du	CN
Celimuge Wu	TW
Tsutomu Yoshinage	unknown
Lei Zhong	CR
Yusheng Ji	CN
Wei Wan	SG
Shengshan Hu	CN
Jianrong Lu	TW
Leo Yu Zhang	CN
Hai Jin	CN
Yuanyuan He	CN
Leon Witt	US
Mathis Heyer	DE
Kentaroh Toyoda	JP
Wojciech Samek	CZ
Dan Li	CN
Rituparna Saha	IN
Sudip Misra	IN
Aishwariya Chakraborty	IN
Chandranath Chatterjee	IN
Pallav Kumar Deb	IN
H. Brendan McMahan	US
Eider Moore	US
Daniel Ramage	US
Seth Hampson	GB
Blaise AgÃ¼era y Arcas	ES
Julian P. T. Higgins	IE
Sally Green	MY</t>
  </si>
  <si>
    <t>Claes Wohlin — SE — Europe
Tobias Berg — NO — Europe
Martijn W. Heymans — BE — Europe
Stephanie S. Leone — IT — Europe
David Vergouw — NL — Europe
Jill A. Hayden — IE — Europe
Arianne P. Verhagen — NL — Europe
Henrica C. W. de Vet — NL — Europe
Michael Feldman — IL — Asia
Rahul Mohanani — AE — Asia
Iflaah Salman — BH — Asia
Burak Turhan — TR — Asia
Pilar Rodríguez — ES — Europe
Paul Ralph — BD — Asia
Li Tian — MY — Asia
Maziar Sanjabi — IR — Asia
Ahmad Beirami — IR — Asia
Virginia Smith — US — North America
Tian Li — SG — Asia
Anit Kumar Sahu — IN — Asia
Ameet Talwalkar — IN — Asia
Virginia Smith — US — North America
Qunsong Zeng — CN — Asia
Yuqing Du — CN — Asia
Kaibin Huang — TW — Asia
Kin K. Leung — HK — Asia
Yuwei Wang — CN — Asia
Burak Kantarcı — TR — Asia
Sawsan AbdulRahman — EG — Africa
Hanine Tout — DZ — Africa
Azzam Mourad — LB — Asia
Chamseddine Talhi — DZ — Africa
Jie Xu — CN — Asia
Heqiang Wang — CN — Asia
Tiansheng Huang — TW — Asia
Weiwei Lin — TW — Asia
Li Shen — SG — Asia
Keqin Li — CN — Asia
Albert Y. Zomaya — AU — Oceania
Takayuki Nishio — JP — Asia
Ryo Yonetani — JP — Asia
Tiansheng Huang — TW — Asia
Weiwei Lin — TW — Asia
Wentai Wu — TW — Asia
Ligang He — CN — Asia
Keqin Li — CN — Asia
Albert Y. Zomaya — AU — Oceania
Yi Liu — CA — North America
Li Zhang — PA — North America
Ning Ge — CN — Asia
Guanghao Li — CN — Asia
Sin Kit Lo — HK — Asia
Qinghua Lu — TW — Asia
Liming Zhu — CN — Asia
Hye-Young Paik — KR — Asia
Xiwei Xu — CN — Asia
Chen Wang — PA — North America
Wenyu Zhang — CN — Asia
Xiumin Wang — CN — Asia
Pan Zhou — CN — Asia
Weiwei Wu — TW — Asia
Xinglin Zhang — CN — Asia
Dongkun Hou — CN — Asia
Jie Zhang — CN — Asia
Ka Lok Man — HK — Asia
Jieming Ma — CN — Asia
Zitian Peng — CN — Asia
Bjarne Pfitzner — DE — Europe
Nico Steckhan — DE — Europe
Bert Arnrich — DE — Europe
M. Jack Anderson — US — North America
Yae Jee Cho — KR — Asia
Samarth Gupta — IN — Asia
Gauri Joshi — CA — North America
Osman Yağan — TR — Asia
Hangjia Zhang — CN — Asia
Zhijun Xie — CN — Asia
Roozbeh Zarei — IR — Asia
Tao Wu — CN — Asia
Kewei Chen — TW — Asia
Liangkun Yu — CN — Asia
Rana Albelaihi — SA — Asia
Xiang Sun — CN — Asia
Nirwan Ansari — QA — Asia
Michael Devetsikiotis — US — North America
Shulai Zhang — CN — Asia
Zirui Li — CN — Asia
Quan Chen — TW — Asia
Wenli Zheng — CN — Asia
Jingwen Leng — LC — North America
Minyi Guo — CN — Asia
Asad Ali — OM — Asia
Inaam Ilahi — TN — Africa
Adnan Qayyum — PK — Asia
Ihab Mohammed — GH — Africa
Ala Al-Fuqaha — unknown — Unknown
Junaid Qadir — PK — Asia
Jiahua Ma — CN — Asia
Xinghua Sun — CN — Asia
Wenchao Xia — CN — Asia
Xijun Wang — CN — Asia
Xiang Chen — ES — Europe
Hongbo Zhu — CN — Asia
Muhammad Asad — BH — Asia
Ahmed Moustafa — EG — Africa
Fethi Rabhi — TN — Africa
Muhammad Aslam — SA — Asia
Miao Yang — CN — Asia
Hua Qian — SG — Asia
Ximin Wang — CN — Asia
Yong Zhou — CN — Asia
Hongbin Zhu — CN — Asia
Zhe Qu — CN — Asia
Rui Duan — CN — Asia
Lixing Chen — TW — Asia
Jie Xu — CN — Asia
Zhuo Lu — TW — Asia
Yao Liu — TW — Asia
Yingya Guo — CN — Asia
Kai Huang — TW — Asia
Jianshan Chen — TW — Asia
Haneul Ko — HK — Asia
Jaewook Lee — KR — Asia
Sangwon Seo — KR — Asia
Sangheon Pack — US — North America
Victor C. M. Leung — HK — Asia
Yongheng Deng — CN — Asia
Feng Lyu — CN — Asia
Ju Ren — CN — Asia
Huaqing Wu — TW — Asia
Yuezhi Zhou — CN — Asia
Yaoxue Zhang — CN — Asia
Xuemin Shen — CN — Asia
Haftay Gebreslasie Abreha — ET — Africa
Mohammad Hayajneh — JO — Asia
Mohamed Adel Serhani — MA — Africa
Jie Xu — CN — Asia
Heqiang Wang — CN — Asia
Minoo Hosseinzadeh — IR — Asia
Nathaniel Hudson — US — North America
Sam Heshmati — IR — Asia
Hana Khamfroush — IR — Asia
Momina Shaheen — PS — Asia
Muhammad Shoaib Farooq — PK — Asia
T. Umer — CZ — Europe
Byung-Seo Kim — unknown — Unknown
Sumit Rai — MY — Asia
Arti Kumari — IN — Asia
Dilip K. Prasad — IN — Asia
Rodolfo Stoffel Antunes — CH — Europe
Cristiano André da Costa — PT — Europe
Arne Küderle — DE — Europe
Imrana Abdullahi Yari — NG — Africa
Bjoern M. Eskofier — DE — Europe
Zonghang Li — CN — Asia
Yihong He — CN — Asia
Hongfang Yu — CN — Asia
Jiawen Kang — KR — Asia
Xiaoping Li — CN — Asia
Zenglin Xu — CN — Asia
Dusit Niyato — TH — Asia
Weiwei Lin — TW — Asia
Yinhai Xu — CN — Asia
Bo Liu — CN — Asia
Dongdong Li — CN — Asia
Tiansheng Huang — TW — Asia
Fang Shi — CN — Asia
Mehdi Hosseinzadeh — IR — Asia
Atefeh Hemmati — IR — Asia
Amir Masoud Rahmani — AF — Asia
Abdullatif Albaseer — LY — Africa
Mohamed Abdallah — DJ — Africa
Ala Al-Fuqaha — unknown — Unknown
Aiman Erbad — QA — Asia
Xiaodong Ma — CN — Asia
Jia Zhu — SG — Asia
Zhihao Lin — TW — Asia
Shanxuan Chen — TW — Asia
Yangjie Qin — CN — Asia
Asad Ali — OM — Asia
Inaam Ilahi — TN — Africa
Adnan Qayyum — PK — Asia
Ihab Mohammed — GH — Africa
Ala Al-Fuqaha — unknown — Unknown
Junaid Qadir — PK — Asia
Leon Witt — US — North America
Mathis Heyer — DE — Europe
Kentaroh Toyoda — JP — Asia
Wojciech Samek — CZ — Europe
Dan Li — CN — Asia
Wei Wan — SG — Asia
Shengshan Hu — CN — Asia
Jianrong Lu — TW — Asia
Leo Yu Zhang — CN — Asia
Hai Jin — CN — Asia
Yuanyuan He — CN — Asia
Hongbin Zhu — CN — Asia
Yong Zhou — CN — Asia
Hua Qian — SG — Asia
Yuanming Shi — CN — Asia
Xu Chen — SG — Asia
Yang Yang — SG — Asia
Jinlong Pang — HK — Asia
Jieling Yu — CN — Asia
Ruiting Zhou — CN — Asia
John C. S. Lui — HK — Asia
Xavier Tan — MY — Asia
Wei Chong Ng — HK — Asia
Wei Yang Bryan Lim — CN — Asia
Zehui Xiong — CN — Asia
Dusit Niyato — TH — Asia
Han Yu — SG — Asia
Sin Kit Lo — HK — Asia
Qinghua Lu — TW — Asia
Chen Wang — PA — North America
Hye-Young Paik — KR — Asia
Liming Zhu — CN — Asia
Fang Shi — CN — Asia
Chunchao Hu — CN — Asia
Weiwei Lin — TW — Asia
Lisheng Fan — CN — Asia
Tiansheng Huang — TW — Asia
Wentai Wu — TW — Asia
Jaewook Lee — KR — Asia
Haneul Ko — HK — Asia
Sangwon Seo — KR — Asia
Sangheon Pack — US — North America
Pengfei Li — CN — Asia
Yunfeng Zhao — CN — Asia
Liandong Chen — TW — Asia
Kai Cheng — SG — Asia
Chuyue Xie — CN — Asia
Xiaofei Wang — LC — North America
Qinghua Hu — CN — Asia
Tingting Liu — CN — Asia
Haibo Zhou — CN — Asia
Jun Li — SG — Asia
Feng Shu — CN — Asia
Zhu Han — CN — Asia
Chenning Li — CN — Asia
Xiao Zeng — CN — Asia
Mi Zhang — CN — Asia
Zhichao Cao — CN — Asia
Zhaoyang Du — CN — Asia
Celimuge Wu — TW — Asia
Tsutomu Yoshinage — unknown — Unknown
Lei Zhong — CR — North America
Yusheng Ji — CN — Asia
Wei Wan — SG — Asia
Shengshan Hu — CN — Asia
Jianrong Lu — TW — Asia
Leo Yu Zhang — CN — Asia
Hai Jin — CN — Asia
Yuanyuan He — CN — Asia
Leon Witt — US — North America
Mathis Heyer — DE — Europe
Kentaroh Toyoda — JP — Asia
Wojciech Samek — CZ — Europe
Dan Li — CN — Asia
Rituparna Saha — IN — Asia
Sudip Misra — IN — Asia
Aishwariya Chakraborty — IN — Asia
Chandranath Chatterjee — IN — Asia
Pallav Kumar Deb — IN — Asia
H. Brendan McMahan — US — North America
Eider Moore — US — North America
Daniel Ramage — US — North America
Seth Hampson — GB — Europe
Blaise Agüera y Arcas — ES — Europe
Julian P. T. Higgins — IE — Europe
Sally Green — MY — Asia</t>
  </si>
  <si>
    <t>Michael Feldman — IL — Asia
Rahul Mohanani — AE — Asia
Iflaah Salman — BH — Asia
Burak Turhan — TR — Asia
Paul Ralph — BD — Asia
Li Tian — MY — Asia
Maziar Sanjabi — IR — Asia
Ahmad Beirami — IR — Asia
Tian Li — SG — Asia
Anit Kumar Sahu — IN — Asia
Ameet Talwalkar — IN — Asia
Qunsong Zeng — CN — Asia
Yuqing Du — CN — Asia
Kaibin Huang — TW — Asia
Kin K. Leung — HK — Asia
Yuwei Wang — CN — Asia
Burak Kantarcı — TR — Asia
Azzam Mourad — LB — Asia
Jie Xu — CN — Asia
Heqiang Wang — CN — Asia
Tiansheng Huang — TW — Asia
Weiwei Lin — TW — Asia
Li Shen — SG — Asia
Keqin Li — CN — Asia
Takayuki Nishio — JP — Asia
Ryo Yonetani — JP — Asia
Tiansheng Huang — TW — Asia
Weiwei Lin — TW — Asia
Wentai Wu — TW — Asia
Ligang He — CN — Asia
Keqin Li — CN — Asia
Ning Ge — CN — Asia
Guanghao Li — CN — Asia
Sin Kit Lo — HK — Asia
Qinghua Lu — TW — Asia
Liming Zhu — CN — Asia
Hye-Young Paik — KR — Asia
Xiwei Xu — CN — Asia
Wenyu Zhang — CN — Asia
Xiumin Wang — CN — Asia
Pan Zhou — CN — Asia
Weiwei Wu — TW — Asia
Xinglin Zhang — CN — Asia
Dongkun Hou — CN — Asia
Jie Zhang — CN — Asia
Ka Lok Man — HK — Asia
Jieming Ma — CN — Asia
Zitian Peng — CN — Asia
Yae Jee Cho — KR — Asia
Samarth Gupta — IN — Asia
Osman Yağan — TR — Asia
Hangjia Zhang — CN — Asia
Zhijun Xie — CN — Asia
Roozbeh Zarei — IR — Asia
Tao Wu — CN — Asia
Kewei Chen — TW — Asia
Liangkun Yu — CN — Asia
Rana Albelaihi — SA — Asia
Xiang Sun — CN — Asia
Nirwan Ansari — QA — Asia
Shulai Zhang — CN — Asia
Zirui Li — CN — Asia
Quan Chen — TW — Asia
Wenli Zheng — CN — Asia
Minyi Guo — CN — Asia
Asad Ali — OM — Asia
Adnan Qayyum — PK — Asia
Junaid Qadir — PK — Asia
Jiahua Ma — CN — Asia
Xinghua Sun — CN — Asia
Wenchao Xia — CN — Asia
Xijun Wang — CN — Asia
Hongbo Zhu — CN — Asia
Muhammad Asad — BH — Asia
Muhammad Aslam — SA — Asia
Miao Yang — CN — Asia
Hua Qian — SG — Asia
Ximin Wang — CN — Asia
Yong Zhou — CN — Asia
Hongbin Zhu — CN — Asia
Zhe Qu — CN — Asia
Rui Duan — CN — Asia
Lixing Chen — TW — Asia
Jie Xu — CN — Asia
Zhuo Lu — TW — Asia
Yao Liu — TW — Asia
Yingya Guo — CN — Asia
Kai Huang — TW — Asia
Jianshan Chen — TW — Asia
Haneul Ko — HK — Asia
Jaewook Lee — KR — Asia
Sangwon Seo — KR — Asia
Victor C. M. Leung — HK — Asia
Yongheng Deng — CN — Asia
Feng Lyu — CN — Asia
Ju Ren — CN — Asia
Huaqing Wu — TW — Asia
Yuezhi Zhou — CN — Asia
Yaoxue Zhang — CN — Asia
Xuemin Shen — CN — Asia
Mohammad Hayajneh — JO — Asia
Jie Xu — CN — Asia
Heqiang Wang — CN — Asia
Minoo Hosseinzadeh — IR — Asia
Sam Heshmati — IR — Asia
Hana Khamfroush — IR — Asia
Momina Shaheen — PS — Asia
Muhammad Shoaib Farooq — PK — Asia
Sumit Rai — MY — Asia
Arti Kumari — IN — Asia
Dilip K. Prasad — IN — Asia
Zonghang Li — CN — Asia
Yihong He — CN — Asia
Hongfang Yu — CN — Asia
Jiawen Kang — KR — Asia
Xiaoping Li — CN — Asia
Zenglin Xu — CN — Asia
Dusit Niyato — TH — Asia
Weiwei Lin — TW — Asia
Yinhai Xu — CN — Asia
Bo Liu — CN — Asia
Dongdong Li — CN — Asia
Tiansheng Huang — TW — Asia
Fang Shi — CN — Asia
Mehdi Hosseinzadeh — IR — Asia
Atefeh Hemmati — IR — Asia
Amir Masoud Rahmani — AF — Asia
Aiman Erbad — QA — Asia
Xiaodong Ma — CN — Asia
Jia Zhu — SG — Asia
Zhihao Lin — TW — Asia
Shanxuan Chen — TW — Asia
Yangjie Qin — CN — Asia
Asad Ali — OM — Asia
Adnan Qayyum — PK — Asia
Junaid Qadir — PK — Asia
Kentaroh Toyoda — JP — Asia
Dan Li — CN — Asia
Wei Wan — SG — Asia
Shengshan Hu — CN — Asia
Jianrong Lu — TW — Asia
Leo Yu Zhang — CN — Asia
Hai Jin — CN — Asia
Yuanyuan He — CN — Asia
Hongbin Zhu — CN — Asia
Yong Zhou — CN — Asia
Hua Qian — SG — Asia
Yuanming Shi — CN — Asia
Xu Chen — SG — Asia
Yang Yang — SG — Asia
Jinlong Pang — HK — Asia
Jieling Yu — CN — Asia
Ruiting Zhou — CN — Asia
John C. S. Lui — HK — Asia
Xavier Tan — MY — Asia
Wei Chong Ng — HK — Asia
Wei Yang Bryan Lim — CN — Asia
Zehui Xiong — CN — Asia
Dusit Niyato — TH — Asia
Han Yu — SG — Asia
Sin Kit Lo — HK — Asia
Qinghua Lu — TW — Asia
Hye-Young Paik — KR — Asia
Liming Zhu — CN — Asia
Fang Shi — CN — Asia
Chunchao Hu — CN — Asia
Weiwei Lin — TW — Asia
Lisheng Fan — CN — Asia
Tiansheng Huang — TW — Asia
Wentai Wu — TW — Asia
Jaewook Lee — KR — Asia
Haneul Ko — HK — Asia
Sangwon Seo — KR — Asia
Pengfei Li — CN — Asia
Yunfeng Zhao — CN — Asia
Liandong Chen — TW — Asia
Kai Cheng — SG — Asia
Chuyue Xie — CN — Asia
Qinghua Hu — CN — Asia
Tingting Liu — CN — Asia
Haibo Zhou — CN — Asia
Jun Li — SG — Asia
Feng Shu — CN — Asia
Zhu Han — CN — Asia
Chenning Li — CN — Asia
Xiao Zeng — CN — Asia
Mi Zhang — CN — Asia
Zhichao Cao — CN — Asia
Zhaoyang Du — CN — Asia
Celimuge Wu — TW — Asia
Yusheng Ji — CN — Asia
Wei Wan — SG — Asia
Shengshan Hu — CN — Asia
Jianrong Lu — TW — Asia
Leo Yu Zhang — CN — Asia
Hai Jin — CN — Asia
Yuanyuan He — CN — Asia
Kentaroh Toyoda — JP — Asia
Dan Li — CN — Asia
Rituparna Saha — IN — Asia
Sudip Misra — IN — Asia
Aishwariya Chakraborty — IN — Asia
Chandranath Chatterjee — IN — Asia
Pallav Kumar Deb — IN — Asia
Sally Green — MY — Asia</t>
  </si>
  <si>
    <t>Claes Wohlin — SE — Europe
Tobias Berg — NO — Europe
Martijn W. Heymans — BE — Europe
Stephanie S. Leone — IT — Europe
David Vergouw — NL — Europe
Jill A. Hayden — IE — Europe
Arianne P. Verhagen — NL — Europe
Henrica C. W. de Vet — NL — Europe
Pilar Rodríguez — ES — Europe
Virginia Smith — US — North America
Virginia Smith — US — North America
Sawsan AbdulRahman — EG — Africa
Hanine Tout — DZ — Africa
Chamseddine Talhi — DZ — Africa
Albert Y. Zomaya — AU — Oceania
Albert Y. Zomaya — AU — Oceania
Yi Liu — CA — North America
Li Zhang — PA — North America
Chen Wang — PA — North America
Bjarne Pfitzner — DE — Europe
Nico Steckhan — DE — Europe
Bert Arnrich — DE — Europe
M. Jack Anderson — US — North America
Gauri Joshi — CA — North America
Michael Devetsikiotis — US — North America
Jingwen Leng — LC — North America
Inaam Ilahi — TN — Africa
Ihab Mohammed — GH — Africa
Ala Al-Fuqaha — unknown — Unknown
Xiang Chen — ES — Europe
Ahmed Moustafa — EG — Africa
Fethi Rabhi — TN — Africa
Trond Kvamsdal — NO — Europe
Laurent Sifre — PR — North America
Edward Lockhart — US — North America
Thore Graepel — IE — Europe
Timothy Lillicrap — AU — Oceania
David Silver — NG — Africa
Sirui Yao — CI — Africa
Nithum Thain — GB — Europe
Flavien Prost — FR — Europe
Ed H. — PE — South America
Alex Beutel — DE — Europe
Péter Bauer — AT — Europe
Björn Stevens — US — North America
Wilco Hazeleger — NL — Europe
John Ahlgren — SE — Europe
Maria Eugenia Berezin — UA — Europe
Kinga Bojarczuk — PL — Europe
Elena Dulskyte — LT — Europe
Inna Dvortsova — LV — Europe
Johann George — RO — Europe
Natalija Gucevska — CH — Europe
Mark Harman — US — North America
María Lomelí — MX — North America
Erik Meijer — NL — Europe
Silvia Sapora — IT — Europe
Justin Spahr-Summers — US — North America
Benjamin Letham — NZ — Oceania
Cristiano Calcagno — UY — South America
Dino Distefano — IT — Europe
Jérémy Dubreil — FR — Europe
Dominik Gabi — RO — Europe
Pieter Hooimeijer — NL — Europe
Luca Martino — IT — Europe
Peter W. O’Hearn — NZ — Oceania
Irene Papakonstantinou — GR — Europe
Jim Purbrick — GB — Europe
Dulma Rodriguez — PA — North America
Leon Witt — US — North America
Mathis Heyer — DE — Europe
Wojciech Samek — CZ — Europe
Chen Wang — PA — North America
Xiaofei Wang — LC — North America
Lei Zhong — CR — North America
Leon Witt — US — North America
Mathis Heyer — DE — Europe
Wojciech Samek — CZ — Europe
H. Brendan McMahan — US — North America
Eider Moore — US — North America
Daniel Ramage — US — North America
Seth Hampson — GB — Europe
Blaise Agüera y Arcas — ES — Europe
Julian P. T. Higgins — IE — Europe</t>
  </si>
  <si>
    <t>IflaahSalman
LiTian
TianLi
WeiweiLin
KeqinLi
FangShi
HaneulKo
QinghuaHu
ChenningLi
MiZhang
YushengJi
XiweiXu
JieZhang
ZitianPeng
YaeJeeCho
ShulaiZhang
WenliZheng
MinyiGuo
YaoLiu
JianshanChen
HuaqingWu
XueminShen
ZonghangLi
HongfangYu
JiawenKang</t>
  </si>
  <si>
    <t>25 from 35</t>
  </si>
  <si>
    <t>Reference_List23_EASE2023_Farid_Bagirov</t>
  </si>
  <si>
    <t>78.95% male authors, (15)
15.79% female authors, (3)
5.26% authors of unknown gender. (1)</t>
  </si>
  <si>
    <t>Men: 78.94% (15)
Women: 21.05% (4)</t>
  </si>
  <si>
    <t xml:space="preserve">L.S. Buchwald (Lynne S. Buchwald) - M but is W 
F.H. Lewski (Frank H. Lewski) - X is M 
</t>
  </si>
  <si>
    <t>Jerome L. Myers - M 
Arnold D. Well - M 
Aidan Ackerman - M 
L.S. Buchwald (Lynne S. Buchwald) - W 
F.H. Lewski (Frank H. Lewski) - M 
Kalervo Järvelin - M 
Jaana Kekäläinen - W 
Tobias Baum - M 
Kurt Schneider - M 
Tobias Baum - M 
Kurt Schneider - M 
Alberto Bacchelli - M 
Keith E. Muller - M 
Jacob Cohen - M 
Enrico Fregnan - M 
Larissa Braz - W 
Marco D’Ambros - M 
Gül Çalıklı - W 
Alberto Bacchelli - M</t>
  </si>
  <si>
    <t>Jerome L. Myers	US
Arnold D. Well	MY
Aidan Ackerman	US
L.S. Buchwald (Lynne S. Buchwald)	DK
F.H. Lewski (Frank H. Lewski)	PL
Kalervo JÃ¤rvelin	FI
Jaana KekÃ¤lÃ¤inen	FI
Tobias Baum	DE
Kurt Schneider	DE
Tobias Baum	DE
Kurt Schneider	DE
Alberto Bacchelli	IT
Keith E. Muller	ZA
Jacob Cohen	IL
Enrico Fregnan	IT
Larissa Braz	BR
Marco Dâ€™Ambros	BR
GÃ¼l Ã‡alÄ±klÄ±	TR
Alberto Bacchelli	IT</t>
  </si>
  <si>
    <t>Jerome L. Myers — US — North America
Arnold D. Well — MY — Asia
Aidan Ackerman — US — North America
L.S. Buchwald (Lynne S. Buchwald) — DK — Europe
F.H. Lewski (Frank H. Lewski) — PL — Europe
Kalervo Järvelin — FI — Europe
Jaana Kekäläinen — FI — Europe
Tobias Baum — DE — Europe
Kurt Schneider — DE — Europe
Tobias Baum — DE — Europe
Kurt Schneider — DE — Europe
Alberto Bacchelli — IT — Europe
Keith E. Muller — ZA — Africa
Jacob Cohen — IL — Asia
Enrico Fregnan — IT — Europe
Larissa Braz — BR — South America
Marco D’Ambros — BR — South America
Gül Çalıklı — TR — Asia
Alberto Bacchelli — IT — Europe</t>
  </si>
  <si>
    <t>Arnold D. Well — MY — Asia
Jacob Cohen — IL — Asia
Gül Çalıklı — TR — Asia</t>
  </si>
  <si>
    <t>Jerome L. Myers — US — North America
Aidan Ackerman — US — North America
L.S. Buchwald (Lynne S. Buchwald) — DK — Europe
F.H. Lewski (Frank H. Lewski) — PL — Europe
Kalervo Järvelin — FI — Europe
Jaana Kekäläinen — FI — Europe
Tobias Baum — DE — Europe
Kurt Schneider — DE — Europe
Tobias Baum — DE — Europe
Kurt Schneider — DE — Europe
Alberto Bacchelli — IT — Europe
Keith E. Muller — ZA — Africa
Enrico Fregnan — IT — Europe
Larissa Braz — BR — South America
Marco D’Ambros — BR — South America
Alberto Bacchelli — IT — Europe</t>
  </si>
  <si>
    <t>Reference_List24_EASE2023_Pawan_Kumar_Sarika</t>
  </si>
  <si>
    <t>85.71% male authors, 
14.29% female authors, 
0.00% authors of unknown gender</t>
  </si>
  <si>
    <t>Men: 6: 85.71%
Women: 1: 14.29%</t>
  </si>
  <si>
    <t>Stuart Russell - M 
Peter Norvig - M 
Janez Demšar - M 
Muhammad Usman - M 
Deepika Badampudi - W 
Chris Smith - M 
Himanshukumar D Nayak - M</t>
  </si>
  <si>
    <t>Stuart Russell	GB
Peter Norvig	DK
Janez DemÅ¡ar	SI
Muhammad Usman	NG
Deepika Badampudi	IN
Chris Smith	US
Himanshukumar D Nayak	IN</t>
  </si>
  <si>
    <t>Stuart Russell - GB - Europe  
Peter Norvig - DK - Europe  
Janez Demšar - SI - Europe  
Muhammad Usman - NG - Africa  
Deepika Badampudi - IN - Asia  
Chris Smith - US - North America  
Himanshukumar D Nayak - IN - Asia</t>
  </si>
  <si>
    <t>DeepikaBadampudi
HimanshukumarDNayak</t>
  </si>
  <si>
    <t>StuartRussell
PeterNorvig
JanezDemšar
MuhammadUsman
ChrisSmith</t>
  </si>
  <si>
    <t>Reference_List3_EASE2020_Bohan_Liu.bib</t>
  </si>
  <si>
    <t>82.82% male authors, (135)
15.95% female authors, (26)
1.23% authors of unknown gender. (2)</t>
  </si>
  <si>
    <t>Men: 139: 85.28%
Women: 24: 14.72%</t>
  </si>
  <si>
    <t xml:space="preserve">Hans‐Peter Kriegel - X but is M
Xiao‐Yuan Jing - W but is M
Xiaoyin Wang - W but is M
Hans‐Peter Kriegel - X but is M 
</t>
  </si>
  <si>
    <t>Robert C. Holte - M 
Liane Acker - W 
Bruce Porter - M 
Thomas G. Dietterich - M 
Paul Duvall - M 
Steve Matyas - M 
Andrew Glover - M 
Gustavo E. A. P. A. Batista - M 
Ana L. C. Bazzan - W 
Maria Carolina Monard - W 
Gilles Louppe - M 
Pierre Geurts - M 
John Platt - M 
Jerome H. Friedman - M 
Nathalie Japkowicz - W 
Shaju Stephen - M 
Gary M. Weiss - M 
Daniel Ståhl - M 
Jan Bosch - M 
Gustavo E. A. P. A. Batista - M 
Ronaldo C. Prati - M 
Maria Carolina Monard - W 
Michael R. Smith - M 
Tony Martinez - M 
Christophe Giraud-Carrier - M 
Bhavani Raskutti - W 
Adam Kowalczyk - M 
Bradley Efron - M 
Antonio Maratea - M 
Alfredo Petrosino - M 
Mario Manzo - M 
Jacqui Finlay - W 
Russel Pears - M 
Andy M. Connor - M 
Chris Seiffert - M 
Taghi M. Khoshgoftaar - M 
Jason Van Hulse - M 
Amri Napolitano - M 
Timo Wolf - M 
Adrian Schröter - M 
Daniela Damian - W 
Thanh Nguyen - M 
Xuying Liu - W 
Jianxin Wu - M 
Zhihua Zhou - M 
Haibo He - M 
Yang Bai - M 
Edwardo A. Garcia - M 
Shutao Li - M 
Chris Seiffert - M 
Taghi M. Khoshgoftaar - M 
Jason Van Hulse - M 
Andres Folleco - M 
Alejandro Correa Bahnsen - M 
Djamila Aouada - W 
Björn Ottersten - M 
Haibo He - M 
Edwardo A. Garcia - M 
Larry M. Manevitz - M 
Malik Yousef - M 
Hui Han - W 
Wenyuan Wang - M 
Binghuan Mao - M 
Alejandro Correa Bahnsen - M 
Djamila Aouada - W 
Björn Ottersten - M 
Jorma Laurikkala - M 
Markus Breunig - M 
Hans‐Peter Kriegel - M 
Raymond T. Ng - M 
Jörg Sander - M 
Nitesh V. Chawla - M 
Kevin W. Bowyer - M 
Lawrence Hall - M 
W. Philip Kegelmeyer - M 
Tracy Hall - W 
Sarah Beecham - W 
David Bowes - M 
David Gray - M 
Steve Counsell - M 
Ahmed E. Hassan - M 
Ken Zhang - M 
David Mease - M 
Abraham J. Wyner - M 
Andreas Buja - M 
Duksan Ryu - M 
Jong‐In Jang - M 
Jongmoon Baik - M 
Alejandro Correa Bahnsen - M 
Djamila Aouada - W 
Björn Ottersten - M 
Heyong Wang - M 
Chakkrit Tantithamthavorn - M 
Shane McIntosh - M 
Ahmed E. Hassan - M 
Kenichi Matsumoto - M 
Xiao‐Yuan Jing - M 
Fei Wu - M 
Xiwei Dong - M 
Baowen Xu - M 
Alexander Gordon - M 
Leo Breiman - M 
Jerome H. Friedman - M 
Richard A. Olshen - M 
C. J. Stone - M 
Guillaume Lemaître - M 
Fernando Nogueira - M 
Christos K. Aridas - M 
Michael J. Siers - M 
Md Zahidul Islam - M 
Moritz Beller - M 
Georgios Gousios - M 
Andy Zaidman - M 
Abigail Atchison - W 
Christina Berardi - W 
Natalie Best - W 
Elizabeth S. Stevens - W 
Erik Linstead - M 
Ansong Ni - M 
Ming Li - M 
Kwabena Ebo Bennin - M 
Jacky Keung - M 
Passakorn Phannachitta - M 
Akito Monden - M 
Solomon Mensah - M 
Jing Xia - W 
Yanhui Li - M 
Foyzul Hassan - M 
Xiaoyin Wang - M 
Miriam Seoane Santos - W 
J. Soares - M 
Pedro Henriques Abreu - M 
Hélder Araújo - M 
João Santos - M 
Kathryn Yusoff - W 
Matthieu Jimenez - M 
Renaud Rwemalika - M 
Mike Papadakis - M 
Federica Sarro - W 
Yves Le Traon - M 
Mark Harman - M 
Mateusz Buda - M 
Atsuto Maki - M 
Maciej A. Mazurowski - M 
Alexander Gordon - M 
Leo Breiman - M 
Jerome H. Friedman - M 
Richard A. Olshen - M 
C. J. Stone - M 
Sylvain Arlot - M 
Alain Célisse - M 
Alejandro Correa Bahnsen - M 
Aleksandar Stojanović - M 
Djamila Aouada - W 
Björn Ottersten - M 
Markus Breunig - M 
Hans‐Peter Kriegel - M 
Raymond T. Ng - M 
Jörg Sander - M 
Victor S. Sheng - M 
Charles X. Ling - M 
Miroslav Kubát - M 
Stan Matwin - M</t>
  </si>
  <si>
    <t>Robert C. Holte	NO
Liane Acker	US
Bruce Porter	US
Thomas G. Dietterich	US
Paul Duvall	US
Steve Matyas	HU
Andrew Glover	US
Gustavo E. A. P. A. Batista	PA
Ana L. C. Bazzan	IT
Maria Carolina Monard	BE
Gilles Louppe	BE
Pierre Geurts	NL
John Platt	US
Jerome H. Friedman	US
Nathalie Japkowicz	FR
Shaju Stephen	BD
Gary M. Weiss	US
Daniel StÃ¥hl	SE
Jan Bosch	NL
Gustavo E. A. P. A. Batista	PA
Ronaldo C. Prati	IT
Maria Carolina Monard	BE
Michael R. Smith	US
Tony Martinez	US
Christophe Giraud-Carrier	FR
Bhavani Raskutti	AU
Adam Kowalczyk	PL
Bradley Efron	IL
Antonio Maratea	IT
Alfredo Petrosino	IT
Mario Manzo	IT
Jacqui Finlay	IE
Russel Pears	GB
Andy M. Connor	IE
Chris Seiffert	DE
Taghi M. Khoshgoftaar	MA
Jason Van Hulse	US
Amri Napolitano	IT
Timo Wolf	DE
Adrian SchrÃ¶ter	DE
Daniela Damian	RO
Thanh Nguyen	NO
Xuying Liu	CN
Jianxin Wu	TW
Zhihua Zhou	CN
Haibo He	CN
Yang Bai	SG
Edwardo A. Garcia	GT
Shutao Li	CN
Chris Seiffert	DE
Taghi M. Khoshgoftaar	MA
Jason Van Hulse	US
Andres Folleco	EC
Alejandro Correa Bahnsen	DK
Djamila Aouada	MA
BjÃ¶rn Ottersten	SE
Haibo He	CN
Edwardo A. Garcia	GT
Larry M. Manevitz	IL
Malik Yousef	PK
Hui Han	SG
Wenyuan Wang	CN
Binghuan Mao	CN
Alejandro Correa Bahnsen	DK
Djamila Aouada	MA
BjÃ¶rn Ottersten	SE
Jorma Laurikkala	FI
Markus Breunig	DE
Hans-Peter Kriegel	DE
Raymond T. Ng	HK
JÃ¶rg Sander	DE
Nitesh V. Chawla	IN
Kevin W. Bowyer	GB
Lawrence Hall	GB
W. Philip Kegelmeyer	US
Tracy Hall	US
Sarah Beecham	US
David Bowes	IE
David Gray	AE
Steve Counsell	NZ
Ahmed E. Hassan	PK
Ken Zhang	CN
David Mease	US
Abraham J. Wyner	US
Andreas Buja	AL
Duksan Ryu	KR
Jong-In Jang	KR
Jongmoon Baik	KR
Alejandro Correa Bahnsen	DK
Djamila Aouada	MA
BjÃ¶rn Ottersten	SE
Heyong Wang	CN
Chakkrit Tantithamthavorn	AU
Shane McIntosh	JM
Ahmed E. Hassan	PK
Kenichi Matsumoto	JP
Xiao-Yuan Jing	CN
Fei Wu	PE
Xiwei Dong	CN
Baowen Xu	CN
Alexander Gordon	JM
Leo Breiman	IL
Jerome H. Friedman	US
Richard A. Olshen	HR
C. J. Stone	US
Guillaume LemaÃ®tre	FR
Fernando Nogueira	MU
Christos K. Aridas	GR
Michael J. Siers	US
Md Zahidul Islam	BD
Moritz Beller	US
Georgios Gousios	GR
Andy Zaidman	IL
Abigail Atchison	US
Christina Berardi	IT
Natalie Best	US
Elizabeth S. Stevens	US
Erik Linstead	GB
Ansong Ni	GH
Ming Li	SG
Kwabena Ebo Bennin	GH
Jacky Keung	HK
Passakorn Phannachitta	TH
Akito Monden	JP
Solomon Mensah	GH
Jing Xia	CN
Yanhui Li	CN
Foyzul Hassan	PK
Xiaoyin Wang	CN
Miriam Seoane Santos	PT
J. Soares	BR
Pedro Henriques Abreu	PT
HÃ©lder AraÃºjo	BR
JoÃ£o Santos	PT
Kathryn Yusoff	MY
Matthieu Jimenez	CR
Renaud Rwemalika	RW
Mike Papadakis	GR
Federica Sarro	IT
Yves Le Traon	FR
Mark Harman	US
Mateusz Buda	RO
Atsuto Maki	JP
Maciej A. Mazurowski	PL
Alexander Gordon	JM
Leo Breiman	IL
Jerome H. Friedman	US
Richard A. Olshen	HR
C. J. Stone	US
Sylvain Arlot	FR
Alain CÃ©lisse	FR
Alejandro Correa Bahnsen	DK
Aleksandar StojanoviÄ‡	RS
Djamila Aouada	MA
BjÃ¶rn Ottersten	SE
Markus Breunig	DE
Hans-Peter Kriegel	DE
Raymond T. Ng	HK
JÃ¶rg Sander	DE
Victor S. Sheng	CN
Charles X. Ling	LC
Miroslav KubÃ¡t	CZ
Stan Matwin	PL</t>
  </si>
  <si>
    <t>RobertC.Holte - NO - Europe
LianeAcker - US - NorthAmerica
BrucePorter - US - NorthAmerica
ThomasG.Dietterich - US - NorthAmerica
PaulDuvall - US - NorthAmerica
SteveMatyas - HU - Europe
AndrewGlover - US - NorthAmerica
GustavoE.A.P.A.Batista - PA - NorthAmerica
AnaL.C.Bazzan - IT - Europe
MariaCarolinaMonard - BE - Europe
GillesLouppe - BE - Europe
PierreGeurts - NL - Europe
JohnPlatt - US - NorthAmerica
JeromeH.Friedman - US - NorthAmerica
NathalieJapkowicz - FR - Europe
ShajuStephen - BD - Asia
GaryM.Weiss - US - NorthAmerica
DanielStåhl - SE - Europe
JanBosch - NL - Europe
GustavoE.A.P.A.Batista - PA - NorthAmerica
RonaldoC.Prati - IT - Europe
MariaCarolinaMonard - BE - Europe
MichaelR.Smith - US - NorthAmerica
TonyMartinez - US - NorthAmerica
ChristopheGiraud-Carrier - FR - Europe
BhavaniRaskutti - AU - Oceania
AdamKowalczyk - PL - Europe
BradleyEfron - IL - Asia
AntonioMaratea - IT - Europe
AlfredoPetrosino - IT - Europe
MarioManzo - IT - Europe
JacquiFinlay - IE - Europe
RusselPears - GB - Europe
AndyM.Connor - IE - Europe
ChrisSeiffert - DE - Europe
TaghiM.Khoshgoftaar - MA - Africa
JasonVanHulse - US - NorthAmerica
AmriNapolitano - IT - Europe
TimoWolf - DE - Europe
AdrianSchröter - DE - Europe
DanielaDamian - RO - Europe
ThanhNguyen - NO - Europe
XuyingLiu - CN - Asia
JianxinWu - TW - Asia
ZhihuaZhou - CN - Asia
HaiboHe - CN - Asia
YangBai - SG - Asia
EdwardoA.Garcia - GT - NorthAmerica
ShutaoLi - CN - Asia
ChrisSeiffert - DE - Europe
TaghiM.Khoshgoftaar - MA - Africa
JasonVanHulse - US - NorthAmerica
AndresFolleco - EC - SouthAmerica
AlejandroCorreaBahnsen - DK - Europe
DjamilaAouada - MA - Africa
BjörnOttersten - SE - Europe
HaiboHe - CN - Asia
EdwardoA.Garcia - GT - NorthAmerica
LarryM.Manevitz - IL - Asia
MalikYousef - PK - Asia
HuiHan - SG - Asia
WenyuanWang - CN - Asia
BinghuanMao - CN - Asia
AlejandroCorreaBahnsen - DK - Europe
DjamilaAouada - MA - Africa
BjörnOttersten - SE - Europe
JormaLaurikkala - FI - Europe
MarkusBreunig - DE - Europe
Hans-PeterKriegel - DE - Europe
RaymondT.Ng - HK - Asia
JörgSander - DE - Europe
NiteshV.Chawla - IN - Asia
KevinW.Bowyer - GB - Europe
LawrenceHall - GB - Europe
W.PhilipKegelmeyer - US - NorthAmerica
TracyHall - US - NorthAmerica
SarahBeecham - US - NorthAmerica
DavidBowes - IE - Europe
DavidGray - AE - Asia
SteveCounsell - NZ - Oceania
AhmedE.Hassan - PK - Asia
KenZhang - CN - Asia
DavidMease - US - NorthAmerica
AbrahamJ.Wyner - US - NorthAmerica
AndreasBuja - AL - Europe
DuksanRyu - KR - Asia
Jong-InJang - KR - Asia
JongmoonBaik - KR - Asia
AlejandroCorreaBahnsen - DK - Europe
DjamilaAouada - MA - Africa
BjörnOttersten - SE - Europe
HeyongWang - CN - Asia
ChakkritTantithamthavorn - AU - Oceania
ShaneMcIntosh - JM - NorthAmerica
AhmedE.Hassan - PK - Asia
KenichiMatsumoto - JP - Asia
Xiao-YuanJing - CN - Asia
FeiWu - PE - SouthAmerica
XiweiDong - CN - Asia
BaowenXu - CN - Asia
AlexanderGordon - JM - NorthAmerica
LeoBreiman - IL - Asia
JeromeH.Friedman - US - NorthAmerica
RichardA.Olshen - HR - Europe
C.J.Stone - US - NorthAmerica
GuillaumeLemaître - FR - Europe
FernandoNogueira - MU - Africa
ChristosK.Aridas - GR - Europe
MichaelJ.Siers - US - NorthAmerica
MdZahidulIslam - BD - Asia
MoritzBeller - US - NorthAmerica
GeorgiosGousios - GR - Europe
AndyZaidman - IL - Asia
AbigailAtchison - US - NorthAmerica
ChristinaBerardi - IT - Europe
NatalieBest - US - NorthAmerica
ElizabethS.Stevens - US - NorthAmerica
ErikLinstead - GB - Europe
AnsongNi - GH - Africa
MingLi - SG - Asia
KwabenaEboBennin - GH - Africa
JackyKeung - HK - Asia
PassakornPhannachitta - TH - Asia
AkitoMonden - JP - Asia
SolomonMensah - GH - Africa
JingXia - CN - Asia
YanhuiLi - CN - Asia
FoyzulHassan - PK - Asia
XiaoyinWang - CN - Asia
MiriamSeoaneSantos - PT - Europe
J.Soares - BR - SouthAmerica
PedroHenriquesAbreu - PT - Europe
HélderAraújo - BR - SouthAmerica
JoãoSantos - PT - Europe
KathrynYusoff - MY - Asia
MatthieuJimenez - CR - NorthAmerica
RenaudRwemalika - RW - Africa
MikePapadakis - GR - Europe
FedericaSarro - IT - Europe
YvesLeTraon - FR - Europe
MarkHarman - US - NorthAmerica
MateuszBuda - RO - Europe
AtsutoMaki - JP - Asia
MaciejA.Mazurowski - PL - Europe
AlexanderGordon - JM - NorthAmerica
LeoBreiman - IL - Asia
JeromeH.Friedman - US - NorthAmerica
RichardA.Olshen - HR - Europe
C.J.Stone - US - NorthAmerica
SylvainArlot - FR - Europe
AlainCélisse - FR - Europe
AlejandroCorreaBahnsen - DK - Europe
AleksandarStojanović - RS - Europe
DjamilaAouada - MA - Africa
BjörnOttersten - SE - Europe
MarkusBreunig - DE - Europe
Hans-PeterKriegel - DE - Europe
RaymondT.Ng - HK - Asia
JörgSander - DE - Europe
VictorS.Sheng - CN - Asia
CharlesX.Ling - LC - NorthAmerica
MiroslavKubát - CZ - Europe
StanMatwin - PL - Europe</t>
  </si>
  <si>
    <t>Shaju Stephen — BD — Asia
Bradley Efron — IL — Asia
Xuying Liu — CN — Asia
Jianxin Wu — TW — Asia
Zhihua Zhou — CN — Asia
Haibo He — CN — Asia
Yang Bai — SG — Asia
Shutao Li — CN — Asia
Haibo He — CN — Asia
Larry M. Manevitz — IL — Asia
Malik Yousef — PK — Asia
Hui Han — SG — Asia
Wenyuan Wang — CN — Asia
Binghuan Mao — CN — Asia
Raymond T. Ng — HK — Asia
Nitesh V. Chawla — IN — Asia
David Gray — AE — Asia
Ahmed E. Hassan — PK — Asia
Ken Zhang — CN — Asia
Duksan Ryu — KR — Asia
Jong-In Jang — KR — Asia
Jongmoon Baik — KR — Asia
Heyong Wang — CN — Asia
Ahmed E. Hassan — PK — Asia
Kenichi Matsumoto — JP — Asia
Xiao-Yuan Jing — CN — Asia
Xiwei Dong — CN — Asia
Baowen Xu — CN — Asia
Leo Breiman — IL — Asia
Md Zahidul Islam — BD — Asia
Andy Zaidman — IL — Asia
Ming Li — SG — Asia
Jacky Keung — HK — Asia
Passakorn Phannachitta — TH — Asia
Akito Monden — JP — Asia
Jing Xia — CN — Asia
Yanhui Li — CN — Asia
Foyzul Hassan — PK — Asia
Xiaoyin Wang — CN — Asia
Kathryn Yusoff — MY — Asia
Atsuto Maki — JP — Asia
Leo Breiman — IL — Asia
Raymond T. Ng — HK — Asia
Victor S. Sheng — CN — Asia</t>
  </si>
  <si>
    <t>Robert C. Holte — NO — Europe
Liane Acker — US — North America
Bruce Porter — US — North America
Thomas G. Dietterich — US — North America
Paul Duvall — US — North America
Steve Matyas — HU — Europe
Andrew Glover — US — North America
Gustavo E. A. P. A. Batista — PA — North America
Ana L. C. Bazzan — IT — Europe
Maria Carolina Monard — BE — Europe
Gilles Louppe — BE — Europe
Pierre Geurts — NL — Europe
John Platt — US — North America
Jerome H. Friedman — US — North America
Nathalie Japkowicz — FR — Europe
Gary M. Weiss — US — North America
Daniel Ståhl — SE — Europe
Jan Bosch — NL — Europe
Gustavo E. A. P. A. Batista — PA — North America
Ronaldo C. Prati — IT — Europe
Maria Carolina Monard — BE — Europe
Michael R. Smith — US — North America
Tony Martinez — US — North America
Christophe Giraud-Carrier — FR — Europe
Bhavani Raskutti — AU — Oceania
Adam Kowalczyk — PL — Europe
Antonio Maratea — IT — Europe
Alfredo Petrosino — IT — Europe
Mario Manzo — IT — Europe
Jacqui Finlay — IE — Europe
Russel Pears — GB — Europe
Andy M. Connor — IE — Europe
Chris Seiffert — DE — Europe
Taghi M. Khoshgoftaar — MA — Africa
Jason Van Hulse — US — North America
Amri Napolitano — IT — Europe
Timo Wolf — DE — Europe
Adrian Schröter — DE — Europe
Daniela Damian — RO — Europe
Thanh Nguyen — NO — Europe
Edwardo A. Garcia — GT — North America
Chris Seiffert — DE — Europe
Taghi M. Khoshgoftaar — MA — Africa
Jason Van Hulse — US — North America
Andres Folleco — EC — South America
Alejandro Correa Bahnsen — DK — Europe
Djamila Aouada — MA — Africa
Björn Ottersten — SE — Europe
Edwardo A. Garcia — GT — North America
Alejandro Correa Bahnsen — DK — Europe
Djamila Aouada — MA — Africa
Björn Ottersten — SE — Europe
Jorma Laurikkala — FI — Europe
Markus Breunig — DE — Europe
Hans-Peter Kriegel — DE — Europe
Jörg Sander — DE — Europe
Kevin W. Bowyer — GB — Europe
Lawrence Hall — GB — Europe
W. Philip Kegelmeyer — US — North America
Tracy Hall — US — North America
Sarah Beecham — US — North America
David Bowes — IE — Europe
Steve Counsell — NZ — Oceania
David Mease — US — North America
Abraham J. Wyner — US — North America
Andreas Buja — AL — Europe
Chakkrit Tantithamthavorn — AU — Oceania
Shane McIntosh — JM — North America
Fei Wu — PE — South America
Alexander Gordon — JM — North America
Jerome H. Friedman — US — North America
Richard A. Olshen — HR — Europe
C. J. Stone — US — North America
Guillaume Lemaître — FR — Europe
Fernando Nogueira — MU — Africa
Christos K. Aridas — GR — Europe
Michael J. Siers — US — North America
Moritz Beller — US — North America
Georgios Gousios — GR — Europe
Abigail Atchison — US — North America
Christina Berardi — IT — Europe
Natalie Best — US — North America
Elizabeth S. Stevens — US — North America
Erik Linstead — GB — Europe
Ansong Ni — GH — Africa
Kwabena Ebo Bennin — GH — Africa
Solomon Mensah — GH — Africa
Miriam Seoane Santos — PT — Europe
J. Soares — BR — South America
Pedro Henriques Abreu — PT — Europe
Hélder Araújo — BR — South America
João Santos — PT — Europe
Matthieu Jimenez — CR — North America
Renaud Rwemalika — RW — Africa
Mike Papadakis — GR — Europe
Federica Sarro — IT — Europe
Yves Le Traon — FR — Europe
Mark Harman — US — North America
Mateusz Buda — RO — Europe
Maciej A. Mazurowski — PL — Europe
Alexander Gordon — JM — North America
Jerome H. Friedman — US — North America
Richard A. Olshen — HR — Europe
C. J. Stone — US — North America
Sylvain Arlot — FR — Europe
Alain Célisse — FR — Europe
Aleksandar Stojanović — RS — Europe
Djamila Aouada — MA — Africa
Björn Ottersten — SE — Europe
Markus Breunig — DE — Europe
Hans-Peter Kriegel — DE — Europe
Jörg Sander — DE — Europe
Charles X. Ling — LC — North America
Miroslav Kubát — CZ — Europe
Stan Matwin — PL — Europe</t>
  </si>
  <si>
    <t>Xiao‐Yuan Jing
Xiaoyin Wang</t>
  </si>
  <si>
    <t>2 from 4</t>
  </si>
  <si>
    <t>Reference_List3_EASE2021_Katarzyna_Biesialska.bib</t>
  </si>
  <si>
    <t>69.63% male authors, (94)
28.89% female authors, (39)
1.48% authors of unknown gender. (2)</t>
  </si>
  <si>
    <t>Men: 100: 74.07%
Women: 35: 25.93%</t>
  </si>
  <si>
    <t xml:space="preserve">Hong Mei - W is M
Mark Gibbel - X is M
Hoa Khanh Dam - W but is M
Jin Guo - M but is W
Kim Dikert - W is M
Rogardt Heldal - X but is M 
Lalli Myllyaho - W but is M 
Lalli Myllyaho - W but is M 
</t>
  </si>
  <si>
    <t>Nelson Sekitoleko - M 
Felix Evbota - M 
Eric Knauss - M 
Anna Sandberg - W 
Michel R. V. Chaudron - M 
Helena Holmström Olsson - W 
Torgeir Dingsøyr - M 
Nils Brede Moe - M 
Torgeir Dingsøyr - M 
Tor Erlend Fægri - M 
Juha Itkonen - M 
Forrest Shull - M 
Janice Singer - W 
Dag I. K. Sjøberg - M 
Alexander Scheerer - M 
Saskia Bick - W 
Tobias Hildenbrand - M 
Armin Heinzl - M 
Pär Carlshamre - M 
Kristian Sandahl - M 
Mikael Lindvall - M 
Björn Regnell - M 
Johan Natt och Dag - M 
Scott W. Ambler - M 
Mark Lines - M 
Lina Lagerberg - W 
Tor Skude - M 
Pär Emanuelsson - M 
Kristian Sandahl - M 
Daniel Ståhl - M 
Maria Paasivaara - W 
Casper Lassenius - M 
Ville Heikkilä - M 
Denise M. Woit - W 
Jun Lin - M 
Han Yu - M 
Zhiqi Shen - M 
Chunyan Miao - W 
William N. Robinson - M 
Suzanne D. Pawlowski - W 
V.Ya. Volkov - M 
Kelly Blincoe - W 
Giuseppe Valetto - M 
Daniela Damian - W 
Thomas W. Malone - M 
Kevin Crowston - M 
Victor R. Basili - M 
H. Dieter Rombach - M 
Kevin Crowston - M 
John W. Creswell - M 
Wei Zhang - M 
Hong Mei - M 
Haiyan Zhao - W 
Martin S. Feather - M 
Stephen Cornford - M 
Mark Gibbel - M 
Morakot Choetkiertikul - M 
Hoa Khanh Dam - M 
Truyen Tran - M 
Aditya Ghose - M 
Jin Guo - W 
Mona Rahimi - W 
Jane Cleland‐Huang - W 
Alexander Rasin - M 
Jane Huffman Hayes - W 
Michael Vierhauser - M 
Kim Dikert - M 
Maria Paasivaara - W 
Casper Lassenius - M 
Knut H. Rolland - M 
Vidar Mikkelsen - M 
Alexander Næss - M 
Carolyn Seaman - W 
Maria Paasivaara - W 
Benjamin Behm - M 
Casper Lassenius - M 
Minna Hallikainen - W 
Karina Curcio - W 
T. Gómez Navarro - M 
Andreia Malucelli - W 
Sheila Reinehr - W 
Mirosław Ochodek - M 
Sylwia Kopczyńska - W 
Junji Shimagaki - M 
Yasutaka Kamei - M 
Naoyasu Ubayashi - M 
Abram Hindle - M 
Nils Brede Moe - M 
Torgeir Dingsøyr - M 
Knut H. Rolland - M 
Xavier Franch - M 
Daniel Méndez - M 
Marc Oriol - M 
Andreas Vogelsang - M 
Rogardt Heldal - M 
Eric Knauss - M 
Guilherme Horta Travassos - M 
Jeffrey C. Carver - M 
Óscar Dieste - M 
Thomas Zimmermann - M 
Zainab Masood - W 
Rashina Hoda - W 
Kelly Blincoe - W 
Katarzyna Biesialska - W 
Xavier Franch - M 
Víctor Muntés-Mulero - M 
Rashidah Kasauli - W 
Eric Knauss - M 
Jennifer Horkoff - W 
Grischa Liebel - M 
Francisco Gomes de Oliveira Neto - M 
Torgeir Dingsøyr - M 
Tor Erlend Fægri - M 
Juha Itkonen - M 
Mikko Raatikainen - M 
Quim Motger - M 
Clara Marie Lüders - W 
Xavier Franch - M 
Lalli Myllyaho - M 
Elina Kettunen - W 
Jordi Marco - M 
Juha Tiihonen - M 
Mikko Halonen - M 
Tomi Männistö - M 
Mikko Raatikainen - M 
Quim Motger - M 
Clara Marie Lüders - W 
Xavier Franch - M 
Lalli Myllyaho - M 
Elina Kettunen - W 
Jordi Marco - M 
Juha Tiihonen - M 
Mikko Halonen - M 
Tomi Männistö - M 
Diane E. Strode - W</t>
  </si>
  <si>
    <t>Nelson Sekitoleko	UG
Felix Evbota	NE
Eric Knauss	US
Anna Sandberg	US
Michel R. V. Chaudron	FR
Helena HolmstrÃ¶m Olsson	SE
Torgeir DingsÃ¸yr	NO
Nils Brede Moe	NO
Torgeir DingsÃ¸yr	NO
Tor Erlend FÃ¦gri	NO
Juha Itkonen	FI
Forrest Shull	US
Janice Singer	US
Dag I. K. SjÃ¸berg	NO
Alexander Scheerer	DE
Saskia Bick	US
Tobias Hildenbrand	DE
Armin Heinzl	AT
PÃ¤r Carlshamre	SE
Kristian Sandahl	SE
Mikael Lindvall	SE
BjÃ¶rn Regnell	SE
Johan Natt och Dag	TH
Scott W. Ambler	NZ
Mark Lines	GB
Lina Lagerberg	SE
Tor Skude	DK
PÃ¤r Emanuelsson	SE
Kristian Sandahl	SE
Daniel StÃ¥hl	SE
Maria Paasivaara	FI
Casper Lassenius	FI
Ville HeikkilÃ¤	FI
Denise M. Woit	BE
Jun Lin	SG
Han Yu	SG
Zhiqi Shen	CN
Chunyan Miao	CN
William N. Robinson	US
Suzanne D. Pawlowski	PL
V.Ya. Volkov	unknown
Kelly Blincoe	NZ
Giuseppe Valetto	UY
Daniela Damian	RO
Thomas W. Malone	IE
Kevin Crowston	CA
Victor R. Basili	IT
H. Dieter Rombach	DE
Kevin Crowston	CA
John W. Creswell	US
Wei Zhang	SG
Hong Mei	HK
Haiyan Zhao	CN
Martin S. Feather	US
Stephen Cornford	AU
Mark Gibbel	US
Morakot Choetkiertikul	TH
Hoa Khanh Dam	DK
Truyen Tran	VN
Aditya Ghose	BD
Jin Guo	SG
Mona Rahimi	IR
Jane Clelandâ€Huang	unknown
Alexander Rasin	IL
Jane Huffman Hayes	US
Michael Vierhauser	AT
Kim Dikert	FI
Maria Paasivaara	FI
Casper Lassenius	FI
Knut H. Rolland	FR
Vidar Mikkelsen	DK
Alexander NÃ¦ss	NO
Carolyn Seaman	US
Maria Paasivaara	FI
Benjamin Behm	FI
Casper Lassenius	FI
Minna Hallikainen	FI
Karina Curcio	IT
T. GÃ³mez Navarro	CR
Andreia Malucelli	BR
Sheila Reinehr	BR
MirosÅ‚aw Ochodek	PL
Sylwia KopczyÅ„ska	PL
Junji Shimagaki	JP
Yasutaka Kamei	JP
Naoyasu Ubayashi	JP
Abram Hindle	GB
Nils Brede Moe	NO
Torgeir DingsÃ¸yr	NO
Knut H. Rolland	FR
Xavier Franch	ES
Daniel MÃ©ndez	UY
Marc Oriol	FR
Andreas Vogelsang	DE
Rogardt Heldal	NO
Eric Knauss	US
Guilherme Horta Travassos	PT
Jeffrey C. Carver	US
Ã“scar Dieste	UY
Thomas Zimmermann	DE
Zainab Masood	PK
Rashina Hoda	AL
Kelly Blincoe	NZ
Katarzyna Biesialska	PL
Xavier Franch	ES
VÃ­ctor MuntÃ©s-Mulero	unknown
Rashidah Kasauli	UG
Eric Knauss	US
Jennifer Horkoff	CA
Grischa Liebel	US
Francisco Gomes de Oliveira Neto	AO
Torgeir DingsÃ¸yr	NO
Tor Erlend FÃ¦gri	NO
Juha Itkonen	FI
Mikko Raatikainen	FI
Quim Motger	LU
Clara Marie LÃ¼ders	DE
Xavier Franch	ES
Lalli Myllyaho	FI
Elina Kettunen	FI
Jordi Marco	IT
Juha Tiihonen	FI
Mikko Halonen	FI
Tomi MÃ¤nnistÃ¶	FI
Mikko Raatikainen	FI
Quim Motger	LU
Clara Marie LÃ¼ders	DE
Xavier Franch	ES
Lalli Myllyaho	FI
Elina Kettunen	FI
Jordi Marco	IT
Juha Tiihonen	FI
Mikko Halonen	FI
Tomi MÃ¤nnistÃ¶	FI
Diane E. Strode	LV</t>
  </si>
  <si>
    <t>Nelson Sekitoleko - UG - Africa
Felix Evbota - NE - Africa
Eric Knauss - US - NorthAmerica
Anna Sandberg - US - NorthAmerica
Michel R. V. Chaudron - FR - Europe
Helena Holmström Olsson - SE - Europe
Torgeir Dingsøyr - NO - Europe
Nils Brede Moe - NO - Europe
Torgeir Dingsøyr - NO - Europe
Tor Erlend Fægri - NO - Europe
Juha Itkonen - FI - Europe
Forrest Shull - US - NorthAmerica
Janice Singer - US - NorthAmerica
Dag I. K. Sjøberg - NO - Europe
Alexander Scheerer - DE - Europe
Saskia Bick - US - NorthAmerica
Tobias Hildenbrand - DE - Europe
Armin Heinzl - AT - Europe
Pär Carlshamre - SE - Europe
Kristian Sandahl - SE - Europe
Mikael Lindvall - SE - Europe
Björn Regnell - SE - Europe
Johan Natt och Dag - TH - Asia
Scott W. Ambler - NZ - Oceania
Mark Lines - GB - Europe
Lina Lagerberg - SE - Europe
Tor Skude - DK - Europe
Pär Emanuelsson - SE - Europe
Kristian Sandahl - SE - Europe
Daniel Ståhl - SE - Europe
Maria Paasivaara - FI - Europe
Casper Lassenius - FI - Europe
Ville Heikkilä - FI - Europe
Denise M. Woit - BE - Europe
Jun Lin - SG - Asia
Han Yu - SG - Asia
Zhiqi Shen - CN - Asia
Chunyan Miao - CN - Asia
William N. Robinson - US - NorthAmerica
Suzanne D. Pawlowski - PL - Europe
V.Ya. Volkov - unknown - Unknown
Kelly Blincoe - NZ - Oceania
Giuseppe Valetto - UY - SouthAmerica
Daniela Damian - RO - Europe
Thomas W. Malone - IE - Europe
Kevin Crowston - CA - NorthAmerica
Victor R. Basili - IT - Europe
H. Dieter Rombach - DE - Europe
Kevin Crowston - CA - NorthAmerica
John W. Creswell - US - NorthAmerica
Wei Zhang - SG - Asia
Hong Mei - HK - Asia
Haiyan Zhao - CN - Asia
Martin S. Feather - US - NorthAmerica
Stephen Cornford - AU - Oceania
Mark Gibbel - US - NorthAmerica
Morakot Choetkiertikul - TH - Asia
Hoa Khanh Dam - DK - Europe
Truyen Tran - VN - Asia
Aditya Ghose - BD - Asia
Jin Guo - SG - Asia
Mona Rahimi - IR - Asia
Jane Cleland-Huang - unknown - Unknown
Alexander Rasin - IL - Asia
Jane Huffman Hayes - US - NorthAmerica
Michael Vierhauser - AT - Europe
Kim Dikert - FI - Europe
Maria Paasivaara - FI - Europe
Casper Lassenius - FI - Europe
Knut H. Rolland - FR - Europe
Vidar Mikkelsen - DK - Europe
Alexander Næss - NO - Europe
Carolyn Seaman - US - NorthAmerica
Maria Paasivaara - FI - Europe
Benjamin Behm - FI - Europe
Casper Lassenius - FI - Europe
Minna Hallikainen - FI - Europe
Karina Curcio - IT - Europe
T. Gómez Navarro - CR - NorthAmerica
Andreia Malucelli - BR - SouthAmerica
Sheila Reinehr - BR - SouthAmerica
Mirosław Ochodek - PL - Europe
Sylwia Kopczyńska - PL - Europe
Junji Shimagaki - JP - Asia
Yasutaka Kamei - JP - Asia
Naoyasu Ubayashi - JP - Asia
Abram Hindle - GB - Europe
Nils Brede Moe - NO - Europe
Torgeir Dingsøyr - NO - Europe
Knut H. Rolland - FR - Europe
Xavier Franch - ES - Europe
Daniel Méndez - UY - SouthAmerica
Marc Oriol - FR - Europe
Andreas Vogelsang - DE - Europe
Rogardt Heldal - NO - Europe
Eric Knauss - US - NorthAmerica
Guilherme Horta Travassos - PT - Europe
Jeffrey C. Carver - US - NorthAmerica
Óscar Dieste - UY - SouthAmerica
Thomas Zimmermann - DE - Europe
Zainab Masood - PK - Asia
Rashina Hoda - AL - Europe
Kelly Blincoe - NZ - Oceania
Katarzyna Biesialska - PL - Europe
Xavier Franch - ES - Europe
Víctor Muntés-Mulero - unknown - Unknown
Rashidah Kasauli - UG - Africa
Eric Knauss - US - NorthAmerica
Jennifer Horkoff - CA - NorthAmerica
Grischa Liebel - US - NorthAmerica
Francisco Gomes de Oliveira Neto - AO - Africa
Torgeir Dingsøyr - NO - Europe
Tor Erlend Fægri - NO - Europe
Juha Itkonen - FI - Europe
Mikko Raatikainen - FI - Europe
Quim Motger - LU - Europe
Clara Marie Lüders - DE - Europe
Xavier Franch - ES - Europe
Lalli Myllyaho - FI - Europe
Elina Kettunen - FI - Europe
Jordi Marco - IT - Europe
Juha Tiihonen - FI - Europe
Mikko Halonen - FI - Europe
Tomi Männistö - FI - Europe
Mikko Raatikainen - FI - Europe
Quim Motger - LU - Europe
Clara Marie Lüders - DE - Europe
Xavier Franch - ES - Europe
Lalli Myllyaho - FI - Europe
Elina Kettunen - FI - Europe
Jordi Marco - IT - Europe
Juha Tiihonen - FI - Europe
Mikko Halonen - FI - Europe
Tomi Männistö - FI - Europe
Diane E. Strode - LV - Europe</t>
  </si>
  <si>
    <t>Johan Natt och Dag - TH - Asia
Jun Lin - SG - Asia
Han Yu - SG - Asia
Zhiqi Shen - CN - Asia
Chunyan Miao - CN - Asia
Wei Zhang - SG - Asia
Hong Mei - HK - Asia
Haiyan Zhao - CN - Asia
Morakot Choetkiertikul - TH - Asia
Truyen Tran - VN - Asia
Aditya Ghose - BD - Asia
Jin Guo - SG - Asia
Mona Rahimi - IR - Asia
Alexander Rasin - IL - Asia
Junji Shimagaki - JP - Asia
Yasutaka Kamei - JP - Asia
Naoyasu Ubayashi - JP - Asia
Zainab Masood - PK - Asia</t>
  </si>
  <si>
    <t>Nelson Sekitoleko - UG - Africa
Felix Evbota - NE - Africa
Eric Knauss - US - NorthAmerica
Anna Sandberg - US - NorthAmerica
Michel R. V. Chaudron - FR - Europe
Helena Holmström Olsson - SE - Europe
Torgeir Dingsøyr - NO - Europe
Nils Brede Moe - NO - Europe
Torgeir Dingsøyr - NO - Europe
Tor Erlend Fægri - NO - Europe
Juha Itkonen - FI - Europe
Forrest Shull - US - NorthAmerica
Janice Singer - US - NorthAmerica
Dag I. K. Sjøberg - NO - Europe
Alexander Scheerer - DE - Europe
Saskia Bick - US - NorthAmerica
Tobias Hildenbrand - DE - Europe
Armin Heinzl - AT - Europe
Pär Carlshamre - SE - Europe
Kristian Sandahl - SE - Europe
Mikael Lindvall - SE - Europe
Björn Regnell - SE - Europe
Scott W. Ambler - NZ - Oceania
Mark Lines - GB - Europe
Lina Lagerberg - SE - Europe
Tor Skude - DK - Europe
Pär Emanuelsson - SE - Europe
Kristian Sandahl - SE - Europe
Daniel Ståhl - SE - Europe
Maria Paasivaara - FI - Europe
Casper Lassenius - FI - Europe
Ville Heikkilä - FI - Europe
Denise M. Woit - BE - Europe
William N. Robinson - US - NorthAmerica
Suzanne D. Pawlowski - PL - Europe
V.Ya. Volkov - unknown - Unknown
Kelly Blincoe - NZ - Oceania
Giuseppe Valetto - UY - SouthAmerica
Daniela Damian - RO - Europe
Thomas W. Malone - IE - Europe
Kevin Crowston - CA - NorthAmerica
Victor R. Basili - IT - Europe
H. Dieter Rombach - DE - Europe
Kevin Crowston - CA - NorthAmerica
John W. Creswell - US - NorthAmerica
Martin S. Feather - US - NorthAmerica
Stephen Cornford - AU - Oceania
Mark Gibbel - US - NorthAmerica
Hoa Khanh Dam - DK - Europe
Jane Cleland-Huang - unknown - Unknown
Jane Huffman Hayes - US - NorthAmerica
Michael Vierhauser - AT - Europe
Kim Dikert - FI - Europe
Maria Paasivaara - FI - Europe
Casper Lassenius - FI - Europe
Knut H. Rolland - FR - Europe
Vidar Mikkelsen - DK - Europe
Alexander Næss - NO - Europe
Carolyn Seaman - US - NorthAmerica
Maria Paasivaara - FI - Europe
Benjamin Behm - FI - Europe
Casper Lassenius - FI - Europe
Minna Hallikainen - FI - Europe
Karina Curcio - IT - Europe
T. Gómez Navarro - CR - NorthAmerica
Andreia Malucelli - BR - SouthAmerica
Sheila Reinehr - BR - SouthAmerica
Mirosław Ochodek - PL - Europe
Sylwia Kopczyńska - PL - Europe
Abram Hindle - GB - Europe
Nils Brede Moe - NO - Europe
Torgeir Dingsøyr - NO - Europe
Knut H. Rolland - FR - Europe
Xavier Franch - ES - Europe
Daniel Méndez - UY - SouthAmerica
Marc Oriol - FR - Europe
Andreas Vogelsang - DE - Europe
Rogardt Heldal - NO - Europe
Eric Knauss - US - NorthAmerica
Guilherme Horta Travassos - PT - Europe
Jeffrey C. Carver - US - NorthAmerica
Óscar Dieste - UY - SouthAmerica
Thomas Zimmermann - DE - Europe
Rashina Hoda - AL - Europe
Kelly Blincoe - NZ - Oceania
Katarzyna Biesialska - PL - Europe
Xavier Franch - ES - Europe
Víctor Muntés-Mulero - unknown - Unknown
Rashidah Kasauli - UG - Africa
Eric Knauss - US - NorthAmerica
Jennifer Horkoff - CA - NorthAmerica
Grischa Liebel - US - NorthAmerica
Francisco Gomes de Oliveira Neto - AO - Africa
Torgeir Dingsøyr - NO - Europe
Tor Erlend Fægri - NO - Europe
Juha Itkonen - FI - Europe
Mikko Raatikainen - FI - Europe
Quim Motger - LU - Europe
Clara Marie Lüders - DE - Europe
Xavier Franch - ES - Europe
Lalli Myllyaho - FI - Europe
Elina Kettunen - FI - Europe
Jordi Marco - IT - Europe
Juha Tiihonen - FI - Europe
Mikko Halonen - FI - Europe
Tomi Männistö - FI - Europe
Mikko Raatikainen - FI - Europe
Quim Motger - LU - Europe
Clara Marie Lüders - DE - Europe
Xavier Franch - ES - Europe
Lalli Myllyaho - FI - Europe
Elina Kettunen - FI - Europe
Jordi Marco - IT - Europe
Juha Tiihonen - FI - Europe
Mikko Halonen - FI - Europe
Tomi Männistö - FI - Europe
Diane E. Strode - LV - Europe</t>
  </si>
  <si>
    <t>Hong Mei - Asia
Jin Guo - Asia</t>
  </si>
  <si>
    <t>2 from 8</t>
  </si>
  <si>
    <t>Reference_List3_EASE2023_Christoph_Matthies.bib</t>
  </si>
  <si>
    <t>79.27% male authors, (65)
19.51% female authors, (16)
1.22% authors of unknown gender. (1)</t>
  </si>
  <si>
    <t>Men: 79.27% (65)
Women: 20.73% (17)</t>
  </si>
  <si>
    <t xml:space="preserve">Salome Maro - M but is W 
J. J. Merelo - X but is M 
</t>
  </si>
  <si>
    <t>Johannes Wettinger - M 
Uwe Breitenbücher - M 
Oliver Kopp - M 
Frank Leymann - M 
Maria Paasivaara - W 
Casper Lassenius - M 
Ville Heikkilä - M 
Marco Kuhrmann - M 
Daniel Méndez - M 
Matthias Grober - M 
Per Runeson - M 
Martin Höst - M 
Gregório Robles - M 
Jesús M. González-Barahona - M 
J. J. Merelo - M 
Volker Gruhn - M 
Clemens Schäfer - M 
Rebekka Wohlrab - W 
Patrizio Pelliccione - M 
Eric Knauss - M 
Mats Larsson - M 
Daniel Méndez - M 
Wolfgang Böhm - M 
Andreas Vogelsang - M 
Jakob Mund - M 
Manfred Broy - M 
Marco Kuhrmann - M 
Thorsten Weyer - M 
Antonio Capizzi - M 
Salvatore Distefano - M 
Manuel Mazzara - M 
Iresha Rubasinghe - W 
Dulani Meedeniya - W 
Indika Perera - M 
Jordan Henkel - M 
Christian Bird - M 
Shuvendu K. Lahiri - M 
Thomas Reps - M 
Iraj Lohrasbinasab - M 
Prameet Bhakta Acharya - M 
Ricardo Colomo‐Palacios - M 
Rebekka Wohlrab - W 
Jennifer Horkoff - W 
Rashidah Kasauli - W 
Salome Maro - W 
Jan-Philipp Steghöfer - M 
Eric Knauss - M 
Runfeng Mao - M 
He Zhang - M 
Qiming Dai - M 
Huang Huang - M 
Guoping Rong - M 
Haifeng Shen - M 
Lianping Chen - M 
Kaixiang Lu - M 
Jamal Mahboob - M 
Joel Coffman - M 
David Monschein - M 
Manar Mazkatli - W 
Robert Heinrich - M 
Anne Koziolek - W 
Rodney Rodriguez - M 
Xiaoyin Wang - W 
Sandip Bankar - M 
Deven Shah - M 
Shivakumar R Goniwada - M 
Steve Easterbrook - M 
Janice Singer - W 
Margaret-Anne Storey - W 
Daniela Damian - W 
Alexandra Lapointe-Boisvert - W 
Sébastien Mosser - M 
Sylvie Trudel - W 
Ricardo Amaro - M 
Rúben Pereira - M 
Miguel Mira da Silva - M 
Lars Pareto - M 
Peter Eriksson - M 
Staffan Ehnebom - M 
Martin Forsberg Lie - M 
Mary Sánchez‐Gordón - W 
Ricardo Colomo‐Palacios - M</t>
  </si>
  <si>
    <t>Johannes Wettinger	MT
Uwe BreitenbÃ¼cher	DE
Oliver Kopp	DE
Frank Leymann	DE
Maria Paasivaara	FI
Casper Lassenius	FI
Ville HeikkilÃ¤	FI
Marco Kuhrmann	DE
Daniel MÃ©ndez	UY
Matthias Grober	LU
Per Runeson	SE
Martin HÃ¶st	SE
GregÃ³rio Robles	MX
JesÃºs M. GonzÃ¡lez-Barahona	IR
J. J. Merelo	EC
Volker Gruhn	DE
Clemens SchÃ¤fer	DE
Rebekka Wohlrab	DE
Patrizio Pelliccione	IT
Eric Knauss	US
Mats Larsson	SE
Daniel MÃ©ndez	UY
Wolfgang BÃ¶hm	AT
Andreas Vogelsang	DE
Jakob Mund	DE
Manfred Broy	US
Marco Kuhrmann	DE
Thorsten Weyer	DE
Antonio Capizzi	IT
Salvatore Distefano	IT
Manuel Mazzara	IT
Iresha Rubasinghe	LK
Dulani Meedeniya	LK
Indika Perera	IT
Jordan Henkel	DE
Christian Bird	US
Shuvendu K. Lahiri	IN
Thomas Reps	NZ
Iraj Lohrasbinasab	US
Prameet Bhakta Acharya	NP
Ricardo Colomoâ€Palacios	unknown
Rebekka Wohlrab	DE
Jennifer Horkoff	CA
Rashidah Kasauli	UG
Salome Maro	TZ
Jan-Philipp SteghÃ¶fer	DE
Eric Knauss	US
Runfeng Mao	CN
He Zhang	PA
Qiming Dai	CN
Huang Huang	MY
Guoping Rong	CN
Haifeng Shen	CN
Lianping Chen	TW
Kaixiang Lu	TW
Jamal Mahboob	PK
Joel Coffman	US
David Monschein	AT
Manar Mazkatli	SY
Robert Heinrich	DE
Anne Koziolek	PL
Rodney Rodriguez	US
Xiaoyin Wang	CN
Sandip Bankar	IN
Deven Shah	PK
Shivakumar R Goniwada	IN
Steve Easterbrook	NZ
Janice Singer	US
Margaret-Anne Storey	GB
Daniela Damian	RO
Alexandra Lapointe-Boisvert	unknown
SÃ©bastien Mosser	AT
Sylvie Trudel	CA
Ricardo Amaro	BR
RÃºben Pereira	BR
Miguel Mira da Silva	PT
Lars Pareto	IT
Peter Eriksson	SE
Staffan Ehnebom	SE
Martin Forsberg Lie	SE
Mary SÃ¡nchezâ€GordÃ³n	unknown
Ricardo Colomoâ€Palacios	unknown</t>
  </si>
  <si>
    <t>Johannes Wettinger - MT - Europe
Uwe Breitenbücher - DE - Europe
Oliver Kopp - DE - Europe
Frank Leymann - DE - Europe
Maria Paasivaara - FI - Europe
Casper Lassenius - FI - Europe
Ville Heikkilä - FI - Europe
Marco Kuhrmann - DE - Europe
Daniel Méndez - UY - SouthAmerica
Matthias Grober - LU - Europe
Per Runeson - SE - Europe
Martin Höst - SE - Europe
Gregório Robles - MX - NorthAmerica
Jesús M. González-Barahona - IR - Asia
J. J. Merelo - EC - SouthAmerica
Volker Gruhn - DE - Europe
Clemens Schäfer - DE - Europe
Rebekka Wohlrab - DE - Europe
Patrizio Pelliccione - IT - Europe
Eric Knauss - US - NorthAmerica
Mats Larsson - SE - Europe
Daniel Méndez - UY - SouthAmerica
Wolfgang Böhm - AT - Europe
Andreas Vogelsang - DE - Europe
Jakob Mund - DE - Europe
Manfred Broy - US - NorthAmerica
Marco Kuhrmann - DE - Europe
Thorsten Weyer - DE - Europe
Antonio Capizzi - IT - Europe
Salvatore Distefano - IT - Europe
Manuel Mazzara - IT - Europe
Iresha Rubasinghe - LK - Asia
Dulani Meedeniya - LK - Asia
Indika Perera - IT - Europe
Jordan Henkel - DE - Europe
Christian Bird - US - NorthAmerica
Shuvendu K. Lahiri - IN - Asia
Thomas Reps - NZ - Oceania
Iraj Lohrasbinasab - US - NorthAmerica
Prameet Bhakta Acharya - NP - Asia
Ricardo Colomo-Palacios - unknown - Unknown
Rebekka Wohlrab - DE - Europe
Jennifer Horkoff - CA - NorthAmerica
Rashidah Kasauli - UG - Africa
Salome Maro - TZ - Africa
Jan-Philipp Steghöfer - DE - Europe
Eric Knauss - US - NorthAmerica
Runfeng Mao - CN - Asia
He Zhang - PA - NorthAmerica
Qiming Dai - CN - Asia
Huang Huang - MY - Asia
Guoping Rong - CN - Asia
Haifeng Shen - CN - Asia
Lianping Chen - TW - Asia
Kaixiang Lu - TW - Asia
Jamal Mahboob - PK - Asia
Joel Coffman - US - NorthAmerica
David Monschein - AT - Europe
Manar Mazkatli - SY - Asia
Robert Heinrich - DE - Europe
Anne Koziolek - PL - Europe
Rodney Rodriguez - US - NorthAmerica
Xiaoyin Wang - CN - Asia
Sandip Bankar - IN - Asia
Deven Shah - PK - Asia
Shivakumar R Goniwada - IN - Asia
Steve Easterbrook - NZ - Oceania
Janice Singer - US - NorthAmerica
Margaret-Anne Storey - GB - Europe
Daniela Damian - RO - Europe
Alexandra Lapointe-Boisvert - unknown - Unknown
Sébastien Mosser - AT - Europe
Sylvie Trudel - CA - NorthAmerica
Ricardo Amaro - BR - SouthAmerica
Rúben Pereira - BR - SouthAmerica
Miguel Mira da Silva - PT - Europe
Lars Pareto - IT - Europe
Peter Eriksson - SE - Europe
Staffan Ehnebom - SE - Europe
Martin Forsberg Lie - SE - Europe
Mary Sánchez-Gordón - unknown - Unknown
Ricardo Colomo-Palacios - unknown - Unknown</t>
  </si>
  <si>
    <t>Jesús M. González-Barahona - IR - Asia
Iresha Rubasinghe - LK - Asia
Dulani Meedeniya - LK - Asia
Shuvendu K. Lahiri - IN - Asia
Prameet Bhakta Acharya - NP - Asia
Runfeng Mao - CN - Asia
Qiming Dai - CN - Asia
Huang Huang - MY - Asia
Guoping Rong - CN - Asia
Haifeng Shen - CN - Asia
Lianping Chen - TW - Asia
Kaixiang Lu - TW - Asia
Jamal Mahboob - PK - Asia
Manar Mazkatli - SY - Asia
Xiaoyin Wang - CN - Asia
Sandip Bankar - IN - Asia
Deven Shah - PK - Asia
Shivakumar R Goniwada - IN - Asia</t>
  </si>
  <si>
    <t>Johannes Wettinger - MT - Europe
Uwe Breitenbücher - DE - Europe
Oliver Kopp - DE - Europe
Frank Leymann - DE - Europe
Maria Paasivaara - FI - Europe
Casper Lassenius - FI - Europe
Ville Heikkilä - FI - Europe
Marco Kuhrmann - DE - Europe
Daniel Méndez - UY - SouthAmerica
Matthias Grober - LU - Europe
Per Runeson - SE - Europe
Martin Höst - SE - Europe
Gregório Robles - MX - NorthAmerica
J. J. Merelo - EC - SouthAmerica
Volker Gruhn - DE - Europe
Clemens Schäfer - DE - Europe
Rebekka Wohlrab - DE - Europe
Patrizio Pelliccione - IT - Europe
Eric Knauss - US - NorthAmerica
Mats Larsson - SE - Europe
Daniel Méndez - UY - SouthAmerica
Wolfgang Böhm - AT - Europe
Andreas Vogelsang - DE - Europe
Jakob Mund - DE - Europe
Manfred Broy - US - NorthAmerica
Marco Kuhrmann - DE - Europe
Thorsten Weyer - DE - Europe
Antonio Capizzi - IT - Europe
Salvatore Distefano - IT - Europe
Manuel Mazzara - IT - Europe
Indika Perera - IT - Europe
Jordan Henkel - DE - Europe
Christian Bird - US - NorthAmerica
Thomas Reps - NZ - Oceania
Iraj Lohrasbinasab - US - NorthAmerica
Ricardo Colomo-Palacios - unknown - Unknown
Rebekka Wohlrab - DE - Europe
Jennifer Horkoff - CA - NorthAmerica
Rashidah Kasauli - UG - Africa
Salome Maro - TZ - Africa
Jan-Philipp Steghöfer - DE - Europe
Eric Knauss - US - NorthAmerica
He Zhang - PA - NorthAmerica
Joel Coffman - US - NorthAmerica
David Monschein - AT - Europe
Robert Heinrich - DE - Europe
Anne Koziolek - PL - Europe
Rodney Rodriguez - US - NorthAmerica
Steve Easterbrook - NZ - Oceania
Janice Singer - US - NorthAmerica
Margaret-Anne Storey - GB - Europe
Daniela Damian - RO - Europe
Alexandra Lapointe-Boisvert - unknown - Unknown
Sébastien Mosser - AT - Europe
Sylvie Trudel - CA - NorthAmerica
Ricardo Amaro - BR - SouthAmerica
Rúben Pereira - BR - SouthAmerica
Miguel Mira da Silva - PT - Europe
Lars Pareto - IT - Europe
Peter Eriksson - SE - Europe
Staffan Ehnebom - SE - Europe
Martin Forsberg Lie - SE - Europe
Mary Sánchez-Gordón - unknown - Unknown
Ricardo Colomo-Palacios - unknown - Unknown</t>
  </si>
  <si>
    <t xml:space="preserve">Reference_List38_EASE2020_Bruna_Prauchner_Vargas 
</t>
  </si>
  <si>
    <t>75.00% male authors, (15)
25.00% female authors, (5)
0.00% authors of unknown gender.</t>
  </si>
  <si>
    <t xml:space="preserve">75.00% male authors, (15)
25.00% female authors, (5)
</t>
  </si>
  <si>
    <t>Eric Ries - M 
Per Runeson - M 
Martin Höst - M 
Fabian Fagerholm - M 
Alejandro Sánchez Guinea - M 
Hanna Mäenpää - W 
Jürgen Münch - M 
Eveliina Lindgren - W 
Jürgen Münch - M 
Sezin Yaman - W 
Myriam Munezero - W 
Jürgen Münch - M 
Fabian Fagerholm - M 
Ossi Syd - M 
Mika Aaltola - M 
Christina Palmu - W 
Tomi Männistö - M 
Olli Rissanen - M 
Jürgen Münch - M 
Eric Ries - M</t>
  </si>
  <si>
    <t>Eric Ries	LU
Per Runeson	SE
Martin HÃ¶st	SE
Fabian Fagerholm	FI
Alejandro SÃ¡nchez Guinea	GT
Hanna MÃ¤enpÃ¤Ã¤	FI
JÃ¼rgen MÃ¼nch	DE
Eveliina Lindgren	SE
JÃ¼rgen MÃ¼nch	DE
Sezin Yaman	TR
Myriam Munezero	BI
JÃ¼rgen MÃ¼nch	DE
Fabian Fagerholm	FI
Ossi Syd	FI
Mika Aaltola	FI
Christina Palmu	FI
Tomi MÃ¤nnistÃ¶	FI
Olli Rissanen	FI
JÃ¼rgen MÃ¼nch	DE
Eric Ries	LU</t>
  </si>
  <si>
    <t>Eric Ries - LU - Europe
Per Runeson - SE - Europe
Martin Höst - SE - Europe
Fabian Fagerholm - FI - Europe
Alejandro Sánchez Guinea - GT - NorthAmerica
Hanna Mäenpää - FI - Europe
Jürgen Münch - DE - Europe
Eveliina Lindgren - SE - Europe
Jürgen Münch - DE - Europe
Sezin Yaman - TR - Asia
Myriam Munezero - BI - Africa
Jürgen Münch - DE - Europe
Fabian Fagerholm - FI - Europe
Ossi Syd - FI - Europe
Mika Aaltola - FI - Europe
Christina Palmu - FI - Europe
Tomi Männistö - FI - Europe
Olli Rissanen - FI - Europe
Jürgen Münch - DE - Europe
Eric Ries - LU - Europe</t>
  </si>
  <si>
    <t>Sezin Yaman - TR - Asia</t>
  </si>
  <si>
    <t>Eric Ries - LU - Europe
Per Runeson - SE - Europe
Martin Höst - SE - Europe
Fabian Fagerholm - FI - Europe
Alejandro Sánchez Guinea - GT - NorthAmerica
Hanna Mäenpää - FI - Europe
Jürgen Münch - DE - Europe
Eveliina Lindgren - SE - Europe
Jürgen Münch - DE - Europe
Myriam Munezero - BI - Africa
Jürgen Münch - DE - Europe
Fabian Fagerholm - FI - Europe
Ossi Syd - FI - Europe
Mika Aaltola - FI - Europe
Christina Palmu - FI - Europe
Tomi Männistö - FI - Europe
Olli Rissanen - FI - Europe
Jürgen Münch - DE - Europe
Eric Ries - LU - Europe</t>
  </si>
  <si>
    <t>Reference_List4_EASE2022_Tutku_Çingil.bib</t>
  </si>
  <si>
    <t>83.87% male authors, (26)
16.13% female authors, (5)
0.00% authors of unknown gender. (0)</t>
  </si>
  <si>
    <t>Men: 26: 83.87%
Women: 5: 16.13%</t>
  </si>
  <si>
    <t>Kim G. Larsen - W but is M 
Ceren Şahin Gebizli - M but is W</t>
  </si>
  <si>
    <t>Shin Yoo - M 
Mark Harman - M 
Gregg Rothermel - M 
Mary Jean Harrold - W 
Sebastian Elbaum - M 
Praveen Kallakuri - M 
Alexey Malishevsky - M 
Gregg Rothermel - M 
Satya Kanduri - M 
Emelie Engström - W 
Per Runeson - M 
Mats Skoglund - M 
Todd Graves - M 
Mary Jean Harrold - W 
Jungmin Kim - M 
Adam Porter - M 
Gregg Rothermel - M 
Erik Rogstad - M 
Lionel Briand - M 
Richard Torkar - M 
Alexandre David - M 
Kim G. Larsen - M 
Shuhao Li - M 
Brian Nielsen - M 
Rafaqut Kazmi - M 
Dayang N. A. Jawawi - M but is W 
Radziah Mohamad - W 
Imran Ghani - M 
Ceren Şahin Gebizli - W 
Abdulhadi Kırkıcı - M 
Hasan Sözer - M</t>
  </si>
  <si>
    <t>Shin Yoo	KR
Mark Harman	US
Gregg Rothermel	US
Mary Jean Harrold	US
Sebastian Elbaum	IL
Praveen Kallakuri	IN
Alexey Malishevsky	UA
Gregg Rothermel	US
Satya Kanduri	IN
Emelie EngstrÃ¶m	SE
Per Runeson	SE
Mats Skoglund	SE
Todd Graves	US
Mary Jean Harrold	US
Jungmin Kim	KR
Adam Porter	US
Gregg Rothermel	US
Erik Rogstad	NO
Lionel Briand	FR
Richard Torkar	SI
Alexandre David	CA
Kim G. Larsen	DK
Shuhao Li	CN
Brian Nielsen	US
Rafaqut Kazmi	PK
Dayang N. A. Jawawi	BN
Radziah Mohamad	MY
Imran Ghani	PK
Ceren Åžahin Gebizli	TR
Abdulhadi KÄ±rkÄ±cÄ±	TR
Hasan SÃ¶zer	TR</t>
  </si>
  <si>
    <t>Shin Yoo - KR - Asia
Mark Harman - US - NorthAmerica
Gregg Rothermel - US - NorthAmerica
Mary Jean Harrold - US - NorthAmerica
Sebastian Elbaum - IL - Asia
Praveen Kallakuri - IN - Asia
Alexey Malishevsky - UA - Europe
Gregg Rothermel - US - NorthAmerica
Satya Kanduri - IN - Asia
Emelie Engström - SE - Europe
Per Runeson - SE - Europe
Mats Skoglund - SE - Europe
Todd Graves - US - NorthAmerica
Mary Jean Harrold - US - NorthAmerica
Jungmin Kim - KR - Asia
Adam Porter - US - NorthAmerica
Gregg Rothermel - US - NorthAmerica
Erik Rogstad - NO - Europe
Lionel Briand - FR - Europe
Richard Torkar - SI - Europe
Alexandre David - CA - NorthAmerica
Kim G. Larsen - DK - Europe
Shuhao Li - CN - Asia
Brian Nielsen - US - NorthAmerica
Rafaqut Kazmi - PK - Asia
Dayang N. A. Jawawi - BN - Asia
Radziah Mohamad - MY - Asia
Imran Ghani - PK - Asia
Ceren Şahin Gebizli - TR - Asia
Abdulhadi Kırkıcı - TR - Asia
Hasan Sözer - TR - Asia</t>
  </si>
  <si>
    <t>Shin Yoo - KR - Asia
Sebastian Elbaum - IL - Asia
Praveen Kallakuri - IN - Asia
Satya Kanduri - IN - Asia
Jungmin Kim - KR - Asia
Shuhao Li - CN - Asia
Rafaqut Kazmi - PK - Asia
Dayang N. A. Jawawi - BN - Asia
Radziah Mohamad - MY - Asia
Imran Ghani - PK - Asia
Ceren Şahin Gebizli - TR - Asia
Abdulhadi Kırkıcı - TR - Asia
Hasan Sözer - TR - Asia</t>
  </si>
  <si>
    <t>Mark Harman - US - NorthAmerica
Gregg Rothermel - US - NorthAmerica
Mary Jean Harrold - US - NorthAmerica
Alexey Malishevsky - UA - Europe
Gregg Rothermel - US - NorthAmerica
Emelie Engström - SE - Europe
Per Runeson - SE - Europe
Mats Skoglund - SE - Europe
Todd Graves - US - NorthAmerica
Mary Jean Harrold - US - NorthAmerica
Adam Porter - US - NorthAmerica
Gregg Rothermel - US - NorthAmerica
Erik Rogstad - NO - Europe
Lionel Briand - FR - Europe
Richard Torkar - SI - Europe
Alexandre David - CA - NorthAmerica
Kim G. Larsen - DK - Europe
Brian Nielsen - US - NorthAmerica</t>
  </si>
  <si>
    <t xml:space="preserve">Ceren Şahin Gebizli → Asian
</t>
  </si>
  <si>
    <t>Reference_List59_EASE2023_Maira_Khanam</t>
  </si>
  <si>
    <t>85.71% male authors, 
14.29% female authors, 
0.00% authors of unknown gender.</t>
  </si>
  <si>
    <t>85.71% male authors, (12)
14.29% female authors, (2)</t>
  </si>
  <si>
    <t>Breno Bernard Nicolau de França - M 
Helvio Jeronimo - M 
Guilherme Horta Travassos - M 
Michael Pawlish - M 
Aparna S. Varde - W 
Pratibha Jha - W 
Rizwan Khan - M 
Sanjeev Sharma - M 
Loup-Noé Levy - M 
Jérémie Bosom - M 
Guillaume Guérard - M 
Soufian Ben Amor - M 
Marc Bui - M 
Haï Tran - M</t>
  </si>
  <si>
    <t>Breno Bernard Nicolau de FranÃ§a	BR
Helvio Jeronimo	GT
Guilherme Horta Travassos	PT
Michael Pawlish	US
Aparna S. Varde	AR
Pratibha Jha	IN
Rizwan Khan	SA
Sanjeev Sharma	LC
Loup-NoÃ© Levy	FR
JÃ©rÃ©mie Bosom	UY
Guillaume GuÃ©rard	CA
Soufian Ben Amor	TN
Marc Bui	VN
HaÃ¯ Tran	VN</t>
  </si>
  <si>
    <t>Breno Bernard Nicolau de França - BR - SouthAmerica
Helvio Jeronimo - GT - NorthAmerica
Guilherme Horta Travassos - PT - Europe
Michael Pawlish - US - NorthAmerica
Aparna S. Varde - AR - SouthAmerica
Pratibha Jha - IN - Asia
Rizwan Khan - SA - Asia
Sanjeev Sharma - LC - NorthAmerica
Loup-Noé Levy - FR - Europe
Jérémie Bosom - UY - SouthAmerica
Guillaume Guérard - CA - NorthAmerica
Soufian Ben Amor - TN - Africa
Marc Bui - VN - Asia
Haï Tran - VN - Asia</t>
  </si>
  <si>
    <t>Pratibha Jha - IN - Asia
Rizwan Khan - SA - Asia
Marc Bui - VN - Asia
Haï Tran - VN - Asia</t>
  </si>
  <si>
    <t>Breno Bernard Nicolau de França - BR - SouthAmerica
Helvio Jeronimo - GT - NorthAmerica
Guilherme Horta Travassos - PT - Europe
Michael Pawlish - US - NorthAmerica
Aparna S. Varde - AR - SouthAmerica
Sanjeev Sharma - LC - NorthAmerica
Loup-Noé Levy - FR - Europe
Jérémie Bosom - UY - SouthAmerica
Guillaume Guérard - CA - NorthAmerica
Soufian Ben Amor - TN - Africa</t>
  </si>
  <si>
    <t>Reference_List64_EASE2022_Sonali_Agarwal</t>
  </si>
  <si>
    <t>75.00% male authors, 
25.00% female authors, 
0.00% authors of unknown gender</t>
  </si>
  <si>
    <t xml:space="preserve">75.00% male authors, (21)
25.00% female authors, (7)
</t>
  </si>
  <si>
    <t xml:space="preserve">Harry M. Sneed - M 
Katalin Erdoes - W 
Robert M. Hierons - M 
A. Alexandrov - M 
Christoph Brücke - M 
Volker Markl - M 
Aditya P. Mathur - M 
Adiba Abidin - W 
Divya Lal - W 
Naveen Garg - M 
Vikas Deep - M 
Bhole Rahul Hiraman - M 
Chapte Viresh M. - M 
Karve Abhijeet C. - M 
Jesús Morán - M 
Claudio de la Riva - M 
Javier Tuya - M 
Narinder Singh Punn - M 
Sonali Agarwal - W 
Mohammad Syafrullah - M 
Krisna Adiyarta - M 
danah boyd - W 
Kate Crawford - W 
Ajith Abraham - M 
Paramartha Dutta - M 
Jyotsna Kumar Mandal - M 
Abhishek Bhattacharya - M 
Soumi Dutta - W 
</t>
  </si>
  <si>
    <t>Harry M. Sneed	US
Katalin Erdoes	CH
Robert M. Hierons	GB
A. Alexandrov	BG
Christoph BrÃ¼cke	AT
Volker Markl	AT
Aditya P. Mathur	IN
Adiba Abidin	MY
Divya Lal	IN
Naveen Garg	IN
Vikas Deep	IN
Bhole Rahul Hiraman	IN
Chapte Viresh M.	IN
Karve Abhijeet C.	IN
JesÃºs MorÃ¡n	PE
Claudio de la Riva	IT
Javier Tuya	MN
Narinder Singh Punn	TH
Sonali Agarwal	IN
Mohammad Syafrullah	ID
Krisna Adiyarta	ID
danah boyd	US
Kate Crawford	US
Ajith Abraham	AE
Paramartha Dutta	IN
Jyotsna Kumar Mandal	QA
Abhishek Bhattacharya	IN
Soumi Dutta	IN</t>
  </si>
  <si>
    <t>Harry M. Sneed - US - NorthAmerica
Katalin Erdoes - CH - Europe
Robert M. Hierons - GB - Europe
A. Alexandrov - BG - Europe
Christoph Brücke - AT - Europe
Volker Markl - AT - Europe
Aditya P. Mathur - IN - Asia
Adiba Abidin - MY - Asia
Divya Lal - IN - Asia
Naveen Garg - IN - Asia
Vikas Deep - IN - Asia
Bhole Rahul Hiraman - IN - Asia
Chapte Viresh M. - IN - Asia
Karve Abhijeet C. - IN - Asia
Jesús Morán - PE - SouthAmerica
Claudio de la Riva - IT - Europe
Javier Tuya - MN - Asia
Narinder Singh Punn - TH - Asia
Sonali Agarwal - IN - Asia
Mohammad Syafrullah - ID - Asia
Krisna Adiyarta - ID - Asia
danah boyd - US - NorthAmerica
Kate Crawford - US - NorthAmerica
Ajith Abraham - AE - Asia
Paramartha Dutta - IN - Asia
Jyotsna Kumar Mandal - QA - Asia
Abhishek Bhattacharya - IN - Asia
Soumi Dutta - IN - Asia</t>
  </si>
  <si>
    <t>Aditya P. Mathur - IN - Asia
Adiba Abidin - MY - Asia
Divya Lal - IN - Asia
Naveen Garg - IN - Asia
Vikas Deep - IN - Asia
Bhole Rahul Hiraman - IN - Asia
Chapte Viresh M. - IN - Asia
Karve Abhijeet C. - IN - Asia
Javier Tuya - MN - Asia
Narinder Singh Punn - TH - Asia
Sonali Agarwal - IN - Asia
Mohammad Syafrullah - ID - Asia
Krisna Adiyarta - ID - Asia
Ajith Abraham - AE - Asia
Paramartha Dutta - IN - Asia
Jyotsna Kumar Mandal - QA - Asia
Abhishek Bhattacharya - IN - Asia
Soumi Dutta - IN - Asia</t>
  </si>
  <si>
    <t>Harry M. Sneed - US - NorthAmerica
Katalin Erdoes - CH - Europe
Robert M. Hierons - GB - Europe
A. Alexandrov - BG - Europe
Christoph Brücke - AT - Europe
Volker Markl - AT - Europe
Jesús Morán - PE - SouthAmerica
Claudio de la Riva - IT - Europe
danah boyd - US - NorthAmerica
Kate Crawford - US - NorthAmerica</t>
  </si>
  <si>
    <t>Reference (n = 26)</t>
  </si>
  <si>
    <t>Reference_List1_SANER2021_Xiaoyuan_Xie</t>
  </si>
  <si>
    <t>87.62% male authors, (92)
12.38% female authors, (13)
0.00% authors of unknown gender.</t>
  </si>
  <si>
    <t>Men: 97: 92.38%
Women: 8: 7.62%</t>
  </si>
  <si>
    <t xml:space="preserve">Yingfei Xiong - W is M 
Yingfei Xiong - W is M 
Yingfei Xiong - W is M 
Shing-Chi Cheung - W is M 
Yingfei Xiong - W is M 
Yu Gao - M is W 
Ruirui Huang - W is M 
</t>
  </si>
  <si>
    <t>Haryadi S. Gunawi - M 
Mingzhe Hao - M 
Tanakorn Leesatapornwongsa - M 
Tiratat Patana-anake - M 
Thanh Do - M 
Jeffry Adityatama - M 
Kurnia J. Eliazar - M 
Agung Laksono - M 
Jeffrey F. Lukman - M 
Vincentius Martin - M 
Anang D. Satria - M 
Ferdian Thung - M 
Shaowei Wang - M 
David Lo - M 
Lingxiao Jiang - M 
Colin J. Burgess - M 
Vu Le - M 
C. P. Sun - M 
Zhendong Su - M 
Xuejun Yang - M 
Yang Chen - M 
Eric Eide - M 
John Regehr - M 
Chris Lattner - M 
Vikram Adve - M 
Vu Le - M 
Mehrdad Afshari - M 
Zhendong Su - M 
Syed Imran - M 
Martin Buchheit - M 
Bernhard Hollunder - M 
Ulf Schreier - M 
Junjie Chen - M 
Wenxiang Hu - M 
Dan Hao - M 
Yingfei Xiong - M 
Hongyu Zhang - M 
Lu Zhang - W 
Bing Xie - M 
C. P. Sun - M 
Vu Le - M 
Zhendong Su - M 
Yuting Chen - W 
Ting Su - W 
C. P. Sun - M 
Zhendong Su - M 
Jianjun Zhao - M 
C. P. Sun - M 
Vu Le - M 
Qirun Zhang - M 
Zhendong Su - M 
Junjie Chen - M 
Yanwei Bai - M 
Dan Hao - M 
Yingfei Xiong - M 
Hongyu Zhang - M 
Lu Zhang - W 
Bing Xie - M 
Qirun Zhang - M 
C. P. Sun - M 
Zhendong Su - M 
C. P. Sun - M 
Vu Le - M 
Zhendong Su - M 
Junjie Chen - M 
Yanwei Bai - M 
Dan Hao - M 
Yingfei Xiong - M 
Hongyu Zhang - M 
Bing Xie - M 
Wanwangying Ma - W 
Chen Lin - M 
Xiangyu Zhang - M 
Yuming Zhou - M 
Baowen Xu - M 
Alastair F. Donaldson - M 
Hugues Evrard - M 
Andrei Lascu - M 
Paul Thomson - M 
Shafiul Azam Chowdhury - M 
Soumik Mohian - M 
Sidharth Mehra - M 
Siddhant Gawsane - M 
Taylor T. Johnson - W 
Christoph Csallner - M 
Yuhao Zhang - M 
Yifan Chen - M 
Shing-Chi Cheung - M 
Yingfei Xiong - M 
Lu Zhang - W 
Yu Gao - W 
Wensheng Dou - M 
Feng Qin - M 
Chushu Gao - M 
Dong Wang - M 
Jun Wei - M 
Ruirui Huang - M 
L. Zhou - M 
Yongming Wu - M 
Xuejun Yang - M 
Yang Chen - M 
Eric Eide - M 
John Regehr - M 
Chris Lattner - M 
Vikram Adve - M</t>
  </si>
  <si>
    <t>Haryadi S. Gunawi	LC
Mingzhe Hao	CN
Tanakorn Leesatapornwongsa	TH
Tiratat Patana-anake	TH
Thanh Do	NO
Jeffry Adityatama	ID
Kurnia J. Eliazar	ID
Agung Laksono	ID
Jeffrey F. Lukman	ID
Vincentius Martin	US
Anang D. Satria	ID
Ferdian Thung	LC
Shaowei Wang	CN
David Lo	MY
Lingxiao Jiang	CN
Colin J. Burgess	US
Vu Le	FR
C. P. Sun	CN
Zhendong Su	TW
Xuejun Yang	CN
Yang Chen	CL
Eric Eide	NO
John Regehr	CA
Chris Lattner	AT
Vikram Adve	AE
Vu Le	FR
Mehrdad Afshari	IR
Zhendong Su	TW
Syed Imran	SA
Martin Buchheit	US
Bernhard Hollunder	DE
Ulf Schreier	DE
Junjie Chen	TW
Wenxiang Hu	CN
Dan Hao	CN
Yingfei Xiong	CN
Hongyu Zhang	US
Lu Zhang	ES
Bing Xie	CN
C. P. Sun	CN
Vu Le	FR
Zhendong Su	TW
Yuting Chen	TW
Ting Su	LC
C. P. Sun	CN
Zhendong Su	TW
Jianjun Zhao	CN
C. P. Sun	CN
Vu Le	FR
Qirun Zhang	CN
Zhendong Su	TW
Junjie Chen	TW
Yanwei Bai	CN
Dan Hao	CN
Yingfei Xiong	CN
Hongyu Zhang	US
Lu Zhang	ES
Bing Xie	CN
Qirun Zhang	CN
C. P. Sun	CN
Zhendong Su	TW
C. P. Sun	CN
Vu Le	FR
Zhendong Su	TW
Junjie Chen	TW
Yanwei Bai	CN
Dan Hao	CN
Yingfei Xiong	CN
Hongyu Zhang	US
Bing Xie	CN
Wanwangying Ma	unknown
Chen Lin	MU
Xiangyu Zhang	CN
Yuming Zhou	CN
Baowen Xu	CN
Alastair F. Donaldson	US
Hugues Evrard	BE
Andrei Lascu	RO
Paul Thomson	NZ
Shafiul Azam Chowdhury	BD
Soumik Mohian	BD
Sidharth Mehra	IN
Siddhant Gawsane	IN
Taylor T. Johnson	US
Christoph Csallner	CH
Yuhao Zhang	CN
Yifan Chen	AU
Shing-Chi Cheung	HK
Yingfei Xiong	CN
Lu Zhang	ES
Yu Gao	HK
Wensheng Dou	DZ
Feng Qin	CN
Chushu Gao	CN
Dong Wang	CN
Jun Wei	SG
Ruirui Huang	TW
L. Zhou	CN
Yongming Wu	TW
Xuejun Yang	CN
Yang Chen	CL
Eric Eide	NO
John Regehr	CA
Chris Lattner	AT
Vikram Adve	AE</t>
  </si>
  <si>
    <t>Haryadi S. Gunawi - LC - NorthAmerica
Mingzhe Hao - CN - Asia
Tanakorn Leesatapornwongsa - TH - Asia
Tiratat Patana-anake - TH - Asia
Thanh Do - NO - Europe
Jeffry Adityatama - ID - Asia
Kurnia J. Eliazar - ID - Asia
Agung Laksono - ID - Asia
Jeffrey F. Lukman - ID - Asia
Vincentius Martin - US - NorthAmerica
Anang D. Satria - ID - Asia
Ferdian Thung - LC - NorthAmerica
Shaowei Wang - CN - Asia
David Lo - MY - Asia
Lingxiao Jiang - CN - Asia
Colin J. Burgess - US - NorthAmerica
Vu Le - FR - Europe
C. P. Sun - CN - Asia
Zhendong Su - TW - Asia
Xuejun Yang - CN - Asia
Yang Chen - CL - SouthAmerica
Eric Eide - NO - Europe
John Regehr - CA - NorthAmerica
Chris Lattner - AT - Europe
Vikram Adve - AE - Asia
Vu Le - FR - Europe
Mehrdad Afshari - IR - Asia
Zhendong Su - TW - Asia
Syed Imran - SA - Asia
Martin Buchheit - US - NorthAmerica
Bernhard Hollunder - DE - Europe
Ulf Schreier - DE - Europe
Junjie Chen - TW - Asia
Wenxiang Hu - CN - Asia
Dan Hao - CN - Asia
Yingfei Xiong - CN - Asia
Hongyu Zhang - US - NorthAmerica
Lu Zhang - ES - Europe
Bing Xie - CN - Asia
C. P. Sun - CN - Asia
Vu Le - FR - Europe
Zhendong Su - TW - Asia
Yuting Chen - TW - Asia
Ting Su - LC - NorthAmerica
C. P. Sun - CN - Asia
Zhendong Su - TW - Asia
Jianjun Zhao - CN - Asia
C. P. Sun - CN - Asia
Vu Le - FR - Europe
Qirun Zhang - CN - Asia
Zhendong Su - TW - Asia
Junjie Chen - TW - Asia
Yanwei Bai - CN - Asia
Dan Hao - CN - Asia
Yingfei Xiong - CN - Asia
Hongyu Zhang - US - NorthAmerica
Lu Zhang - ES - Europe
Bing Xie - CN - Asia
Qirun Zhang - CN - Asia
C. P. Sun - CN - Asia
Zhendong Su - TW - Asia
C. P. Sun - CN - Asia
Vu Le - FR - Europe
Zhendong Su - TW - Asia
Junjie Chen - TW - Asia
Yanwei Bai - CN - Asia
Dan Hao - CN - Asia
Yingfei Xiong - CN - Asia
Hongyu Zhang - US - NorthAmerica
Bing Xie - CN - Asia
Wanwangying Ma - unknown - Unknown
Chen Lin - MU - Africa
Xiangyu Zhang - CN - Asia
Yuming Zhou - CN - Asia
Baowen Xu - CN - Asia
Alastair F. Donaldson - US - NorthAmerica
Hugues Evrard - BE - Europe
Andrei Lascu - RO - Europe
Paul Thomson - NZ - Oceania
Shafiul Azam Chowdhury - BD - Asia
Soumik Mohian - BD - Asia
Sidharth Mehra - IN - Asia
Siddhant Gawsane - IN - Asia
Taylor T. Johnson - US - NorthAmerica
Christoph Csallner - CH - Europe
Yuhao Zhang - CN - Asia
Yifan Chen - AU - Oceania
Shing-Chi Cheung - HK - Asia
Yingfei Xiong - CN - Asia
Lu Zhang - ES - Europe
Yu Gao - HK - Asia
Wensheng Dou - DZ - Africa
Feng Qin - CN - Asia
Chushu Gao - CN - Asia
Dong Wang - CN - Asia
Jun Wei - SG - Asia
Ruirui Huang - TW - Asia
L. Zhou - CN - Asia
Yongming Wu - TW - Asia
Xuejun Yang - CN - Asia
Yang Chen - CL - SouthAmerica
Eric Eide - NO - Europe
John Regehr - CA - NorthAmerica
Chris Lattner - AT - Europe
Vikram Adve - AE - Asia</t>
  </si>
  <si>
    <t>Mingzhe Hao - CN - Asia
Tanakorn Leesatapornwongsa - TH - Asia
Tiratat Patana-anake - TH - Asia
Jeffry Adityatama - ID - Asia
Kurnia J. Eliazar - ID - Asia
Agung Laksono - ID - Asia
Jeffrey F. Lukman - ID - Asia
Anang D. Satria - ID - Asia
Shaowei Wang - CN - Asia
David Lo - MY - Asia
Lingxiao Jiang - CN - Asia
C. P. Sun - CN - Asia
Zhendong Su - TW - Asia
Xuejun Yang - CN - Asia
Vikram Adve - AE - Asia
Mehrdad Afshari - IR - Asia
Zhendong Su - TW - Asia
Syed Imran - SA - Asia
Junjie Chen - TW - Asia
Wenxiang Hu - CN - Asia
Dan Hao - CN - Asia
Yingfei Xiong - CN - Asia
Bing Xie - CN - Asia
C. P. Sun - CN - Asia
Zhendong Su - TW - Asia
Yuting Chen - TW - Asia
C. P. Sun - CN - Asia
Zhendong Su - TW - Asia
Jianjun Zhao - CN - Asia
C. P. Sun - CN - Asia
Qirun Zhang - CN - Asia
Zhendong Su - TW - Asia
Junjie Chen - TW - Asia
Yanwei Bai - CN - Asia
Dan Hao - CN - Asia
Yingfei Xiong - CN - Asia
Bing Xie - CN - Asia
Qirun Zhang - CN - Asia
C. P. Sun - CN - Asia
Zhendong Su - TW - Asia
C. P. Sun - CN - Asia
Zhendong Su - TW - Asia
Junjie Chen - TW - Asia
Yanwei Bai - CN - Asia
Dan Hao - CN - Asia
Yingfei Xiong - CN - Asia
Bing Xie - CN - Asia
Xiangyu Zhang - CN - Asia
Yuming Zhou - CN - Asia
Baowen Xu - CN - Asia
Shafiul Azam Chowdhury - BD - Asia
Soumik Mohian - BD - Asia
Sidharth Mehra - IN - Asia
Siddhant Gawsane - IN - Asia
Yuhao Zhang - CN - Asia
Shing-Chi Cheung - HK - Asia
Yingfei Xiong - CN - Asia
Yu Gao - HK - Asia
Feng Qin - CN - Asia
Chushu Gao - CN - Asia
Dong Wang - CN - Asia
Jun Wei - SG - Asia
Ruirui Huang - TW - Asia
L. Zhou - CN - Asia
Yongming Wu - TW - Asia
Xuejun Yang - CN - Asia
Vikram Adve - AE - Asia</t>
  </si>
  <si>
    <t>Haryadi S. Gunawi - LC - NorthAmerica
Thanh Do - NO - Europe
Vincentius Martin - US - NorthAmerica
Ferdian Thung - LC - NorthAmerica
Colin J. Burgess - US - NorthAmerica
Vu Le - FR - Europe
Yang Chen - CL - SouthAmerica
Eric Eide - NO - Europe
John Regehr - CA - NorthAmerica
Chris Lattner - AT - Europe
Vu Le - FR - Europe
Martin Buchheit - US - NorthAmerica
Bernhard Hollunder - DE - Europe
Ulf Schreier - DE - Europe
Hongyu Zhang - US - NorthAmerica
Lu Zhang - ES - Europe
Vu Le - FR - Europe
Hongyu Zhang - US - NorthAmerica
Lu Zhang - ES - Europe
Vu Le - FR - Europe
Hongyu Zhang - US - NorthAmerica
Wanwangying Ma - unknown - Unknown
Chen Lin - MU - Africa
Alastair F. Donaldson - US - NorthAmerica
Hugues Evrard - BE - Europe
Andrei Lascu - RO - Europe
Paul Thomson - NZ - Oceania
Taylor T. Johnson - US - NorthAmerica
Christoph Csallner - CH - Europe
Yifan Chen - AU - Oceania
Lu Zhang - ES - Europe
Wensheng Dou - DZ - Africa
Yang Chen - CL - SouthAmerica
Eric Eide - NO - Europe
John Regehr - CA - NorthAmerica
Chris Lattner - AT - Europe</t>
  </si>
  <si>
    <t xml:space="preserve">Yingfei Xiong 
Yingfei Xiong
Yingfei Xiong 
Shing-Chi Cheung 
Yingfei Xiong 
Yu Gao
Ruirui Huang </t>
  </si>
  <si>
    <t>7 from 7</t>
  </si>
  <si>
    <t>Reference_List10_SANER2022_Chengran_Yang</t>
  </si>
  <si>
    <t>82.43% male authors, (61)
14.86% female authors, (11)
2.70% authors of unknown gender (2)</t>
  </si>
  <si>
    <t>Men: 62: 83.78%
Women: 12: 16.22%</t>
  </si>
  <si>
    <t xml:space="preserve">Zhenchang Xing - X is M 
A.M.H.L. Serlier-van den Bergh - M is W 
Zhenchang Xing - X is M 
</t>
  </si>
  <si>
    <t>Diederik P. Kingma - M 
Jimmy Ba - M 
Ferdian Thung - M 
David Lo - M 
Julia Lawall - W 
Shaowei Wang - M 
David Lo - M 
Lingfeng Bao - M 
Jing Li - W 
Zhenchang Xing - M 
Xinyu Wang - M 
Bo Zhou - M 
Margaret‐Anne Storey - W 
Leif Singer - M 
Brendan Cleary - M 
Fernando Figueira Filho - M 
Alexey Zagalsky - M 
Xuan-Bach D. Le - M 
David Lo - M 
Claire Le Goues - W 
Shir Yadid - W 
Eran Yahav - M 
Kandarp Khandwala - M 
Philip J. Guo - M 
Jordan Ott - M 
Abigail Atchison - W 
Paul Harnack - M 
A.M.H.L. Serlier-van den Bergh - W 
Erik Linstead - M 
Adalbert Gerald Soosai Raj - M 
Jignesh M. Patel - M 
Richard Halverson - M 
Erica Rosenfeld Halverson - W 
Mohammad D. Alahmadi - M 
Abdulkarim Khormi - M 
Biswas Parajuli - M 
Jonathan Hassel - M 
Sonia Haiduc - W 
Piyush Kumar - M 
Lingfeng Bao - M 
Zhenchang Xing - M 
Xin Xia - M 
David Lo - M 
Minghui Wu - M 
Xiaohu Yang - M 
Mohammad D. Alahmadi - M 
Abdulkarim Malkadi - M 
Sonia Haiduc - W 
Alexey Dosovitskiy - M 
Lucas Beyer - M 
Alexander Kolesnikov - M 
Dirk Weissenborn - M 
Xiaohua Zhai - M 
Thomas Unterthiner - M 
Mostafa Dehghani - M 
Matthias Minderer - M 
Georg Heigold - M 
Sylvain Gelly - M 
Jakob Uszkoreit - M 
Neil Houlsby - M 
Carlos Bernal-Cárdenas - M 
Nathan Cooper - M 
Kevin Moran - M 
Oscar Chaparro - M 
Andrian Marcus - M 
Denys Poshyvanyk - M 
Nathan Cooper - M 
Carlos Bernal-Cárdenas - M 
Oscar Chaparro - M 
Kevin Moran - M 
Denys Poshyvanyk - M 
Laura MacLeod - W 
Margaret‐Anne Storey - W 
Andreas Bergen - M</t>
  </si>
  <si>
    <t>Diederik P. Kingma	NL
Jimmy Ba	SN
Ferdian Thung	LC
David Lo	MY
Julia Lawall	US
Shaowei Wang	CN
David Lo	MY
Lingfeng Bao	VN
Jing Li	MY
Zhenchang Xing	CN
Xinyu Wang	US
Bo Zhou	CN
Margaretâ€Anne Storey	unknown
Leif Singer	US
Brendan Cleary	IE
Fernando Figueira Filho	BR
Alexey Zagalsky	IL
Xuan-Bach D. Le	VN
David Lo	MY
Claire Le Goues	FR
Shir Yadid	IL
Eran Yahav	IL
Kandarp Khandwala	PK
Philip J. Guo	CN
Jordan Ott	DE
Abigail Atchison	US
Paul Harnack	DE
A.M.H.L. Serlier-van den Bergh	SE
Erik Linstead	GB
Adalbert Gerald Soosai Raj	IN
Jignesh M. Patel	IN
Richard Halverson	US
Erica Rosenfeld Halverson	US
Mohammad D. Alahmadi	SA
Abdulkarim Khormi	SA
Biswas Parajuli	NP
Jonathan Hassel	NO
Sonia Haiduc	RO
Piyush Kumar	KW
Lingfeng Bao	VN
Zhenchang Xing	CN
Xin Xia	CN
David Lo	MY
Minghui Wu	TW
Xiaohu Yang	CN
Mohammad D. Alahmadi	SA
Abdulkarim Malkadi	TR
Sonia Haiduc	RO
Alexey Dosovitskiy	RU
Lucas Beyer	DE
Alexander Kolesnikov	UA
Dirk Weissenborn	DE
Xiaohua Zhai	CN
Thomas Unterthiner	IT
Mostafa Dehghani	IR
Matthias Minderer	DE
Georg Heigold	CR
Sylvain Gelly	FR
Jakob Uszkoreit	DE
Neil Houlsby	QA
Carlos Bernal-CÃ¡rdenas	unknown
Nathan Cooper	GB
Kevin Moran	CA
Oscar Chaparro	CO
Andrian Marcus	ID
Denys Poshyvanyk	DK
Nathan Cooper	GB
Carlos Bernal-CÃ¡rdenas	unknown
Oscar Chaparro	CO
Kevin Moran	CA
Denys Poshyvanyk	DK
Laura MacLeod	CA
Margaretâ€Anne Storey	unknown
Andreas Bergen	CA</t>
  </si>
  <si>
    <t>Diederik P. Kingma - NL - Europe
Jimmy Ba - SN - Africa
Ferdian Thung - LC - North America
David Lo - MY - Asia
Julia Lawall - US - North America
Shaowei Wang - CN - Asia
David Lo - MY - Asia
Lingfeng Bao - VN - Asia
Jing Li - MY - Asia
Zhenchang Xing - CN - Asia
Xinyu Wang - US - North America
Bo Zhou - CN - Asia
Margaret-Anne Storey - unknown - Unknown
Leif Singer - US - North America
Brendan Cleary - IE - Europe
Fernando Figueira Filho - BR - South America
Alexey Zagalsky - IL - Asia
Xuan-Bach D. Le - VN - Asia
David Lo - MY - Asia
Claire Le Goues - FR - Europe
Shir Yadid - IL - Asia
Eran Yahav - IL - Asia
Kandarp Khandwala - PK - Asia
Philip J. Guo - CN - Asia
Jordan Ott - DE - Europe
Abigail Atchison - US - North America
Paul Harnack - DE - Europe
A.M.H.L. Serlier-van den Bergh - SE - Europe
Erik Linstead - GB - Europe
Adalbert Gerald Soosai Raj - IN - Asia
Jignesh M. Patel - IN - Asia
Richard Halverson - US - North America
Erica Rosenfeld Halverson - US - North America
Mohammad D. Alahmadi - SA - Asia
Abdulkarim Khormi - SA - Asia
Biswas Parajuli - NP - Asia
Jonathan Hassel - NO - Europe
Sonia Haiduc - RO - Europe
Piyush Kumar - KW - Asia
Lingfeng Bao - VN - Asia
Zhenchang Xing - CN - Asia
Xin Xia - CN - Asia
David Lo - MY - Asia
Minghui Wu - TW - Asia
Xiaohu Yang - CN - Asia
Mohammad D. Alahmadi - SA - Asia
Abdulkarim Malkadi - TR - Asia
Sonia Haiduc - RO - Europe
Alexey Dosovitskiy - RU - Europe
Lucas Beyer - DE - Europe
Alexander Kolesnikov - UA - Europe
Dirk Weissenborn - DE - Europe
Xiaohua Zhai - CN - Asia
Thomas Unterthiner - IT - Europe
Mostafa Dehghani - IR - Asia
Matthias Minderer - DE - Europe
Georg Heigold - CR - North America
Sylvain Gelly - FR - Europe
Jakob Uszkoreit - DE - Europe
Neil Houlsby - QA - Asia
Carlos Bernal-Cárdenas - unknown - Unknown
Nathan Cooper - GB - Europe
Kevin Moran - CA - North America
Oscar Chaparro - CO - South America
Andrian Marcus - ID - Asia
Denys Poshyvanyk - DK - Europe
Nathan Cooper - GB - Europe
Carlos Bernal-Cárdenas - unknown - Unknown
Oscar Chaparro - CO - South America
Kevin Moran - CA - North America
Denys Poshyvanyk - DK - Europe
Laura MacLeod - CA - North America
Margaret-Anne Storey - unknown - Unknown
Andreas Bergen - CA - North America</t>
  </si>
  <si>
    <t>David Lo - MY - Asia
Shaowei Wang - CN - Asia
David Lo - MY - Asia
Lingfeng Bao - VN - Asia
Jing Li - MY - Asia
Zhenchang Xing - CN - Asia
Bo Zhou - CN - Asia
Alexey Zagalsky - IL - Asia
Xuan-Bach D. Le - VN - Asia
David Lo - MY - Asia
Shir Yadid - IL - Asia
Eran Yahav - IL - Asia
Kandarp Khandwala - PK - Asia
Philip J. Guo - CN - Asia
Adalbert Gerald Soosai Raj - IN - Asia
Jignesh M. Patel - IN - Asia
Mohammad D. Alahmadi - SA - Asia
Abdulkarim Khormi - SA - Asia
Biswas Parajuli - NP - Asia
Piyush Kumar - KW - Asia
Lingfeng Bao - VN - Asia
Zhenchang Xing - CN - Asia
Xin Xia - CN - Asia
David Lo - MY - Asia
Minghui Wu - TW - Asia
Xiaohu Yang - CN - Asia
Mohammad D. Alahmadi - SA - Asia
Abdulkarim Malkadi - TR - Asia
Xiaohua Zhai - CN - Asia
Mostafa Dehghani - IR - Asia
Neil Houlsby - QA - Asia
Andrian Marcus - ID - Asia</t>
  </si>
  <si>
    <t>Diederik P. Kingma - NL - Europe
Jimmy Ba - SN - Africa
Ferdian Thung - LC - North America
Julia Lawall - US - North America
Xinyu Wang - US - North America
Margaret-Anne Storey - unknown - Unknown
Leif Singer - US - North America
Brendan Cleary - IE - Europe
Fernando Figueira Filho - BR - South America
Claire Le Goues - FR - Europe
Jordan Ott - DE - Europe
Abigail Atchison - US - North America
Paul Harnack - DE - Europe
A.M.H.L. Serlier-van den Bergh - SE - Europe
Erik Linstead - GB - Europe
Richard Halverson - US - North America
Erica Rosenfeld Halverson - US - North America
Jonathan Hassel - NO - Europe
Sonia Haiduc - RO - Europe
Sonia Haiduc - RO - Europe
Alexey Dosovitskiy - RU - Europe
Lucas Beyer - DE - Europe
Alexander Kolesnikov - UA - Europe
Dirk Weissenborn - DE - Europe
Thomas Unterthiner - IT - Europe
Matthias Minderer - DE - Europe
Georg Heigold - CR - North America
Sylvain Gelly - FR - Europe
Jakob Uszkoreit - DE - Europe
Carlos Bernal-Cárdenas - unknown - Unknown
Nathan Cooper - GB - Europe
Kevin Moran - CA - North America
Oscar Chaparro - CO - South America
Denys Poshyvanyk - DK - Europe
Nathan Cooper - GB - Europe
Carlos Bernal-Cárdenas - unknown - Unknown
Oscar Chaparro - CO - South America
Kevin Moran - CA - North America
Denys Poshyvanyk - DK - Europe
Laura MacLeod - CA - North America
Margaret-Anne Storey - unknown - Unknown
Andreas Bergen - CA - North America</t>
  </si>
  <si>
    <t>Zhenchang Xing
Zhenchang Xing</t>
  </si>
  <si>
    <t>Reference_List108_SANER2023_Shifan_Liu</t>
  </si>
  <si>
    <t>77.27% male authors, (17)
22.73% female authors, (5)
0.00% authors of unknown gender.</t>
  </si>
  <si>
    <t>Men: 17: 77.27%
Women: 5: 22.72%</t>
  </si>
  <si>
    <t xml:space="preserve">Lili Mou - W but is M 
Ge Li - W but is M 
Lu Zhang - W but is M 
Zhi Jin - M but is W 
Xing Hu - M but is W 
Ge Li - W but is M 
Zhi Jin - M but is W 
Shanping Li - W but is M 
Xing Hu - M but is W 
Zhiyuan Wan - M but is W 
</t>
  </si>
  <si>
    <t>Lili Mou - M 
Ge Li - M 
Lu Zhang - M 
Tao Wang - M 
Zhi Jin - W 
Xing Hu - W 
Ge Li - M 
Xin Xia - M 
David Lo - M 
Zhi Jin - W 
Lutz Büch - M 
Artur Andrzejak - M 
Zhongxin Liu - M 
Xin Xia - M 
Meng Yan - M 
Shanping Li - M 
Xing Hu - W 
Xin Xia - M 
David Lo - M 
Zhiyuan Wan - W 
Qiuyuan Chen - M 
Thomas Zimmermann - M</t>
  </si>
  <si>
    <t>Lili Mou	BD
Ge Li	CN
Lu Zhang	ES
Tao Wang	CA
Zhi Jin	SG
Xing Hu	US
Ge Li	CN
Xin Xia	CN
David Lo	MY
Zhi Jin	SG
Lutz BÃ¼ch	DE
Artur Andrzejak	PL
Zhongxin Liu	CN
Xin Xia	CN
Meng Yan	MY
Shanping Li	CN
Xing Hu	US
Xin Xia	CN
David Lo	MY
Zhiyuan Wan	HK
Qiuyuan Chen	TW
Thomas Zimmermann	DE</t>
  </si>
  <si>
    <t>Lili Mou - BD - Asia
Ge Li - CN - Asia
Lu Zhang - ES - Europe
Tao Wang - CA - North America
Zhi Jin - SG - Asia
Xing Hu - US - North America
Ge Li - CN - Asia
Xin Xia - CN - Asia
David Lo - MY - Asia
Zhi Jin - SG - Asia
Lutz Büch - DE - Europe
Artur Andrzejak - PL - Europe
Zhongxin Liu - CN - Asia
Xin Xia - CN - Asia
Meng Yan - MY - Asia
Shanping Li - CN - Asia
Xing Hu - US - North America
Xin Xia - CN - Asia
David Lo - MY - Asia
Zhiyuan Wan - HK - Asia
Qiuyuan Chen - TW - Asia
Thomas Zimmermann - DE - Europe</t>
  </si>
  <si>
    <t>Lili Mou - BD - Asia
Ge Li - CN - Asia
Zhi Jin - SG - Asia
Ge Li - CN - Asia
Xin Xia - CN - Asia
David Lo - MY - Asia
Zhi Jin - SG - Asia
Zhongxin Liu - CN - Asia
Xin Xia - CN - Asia
Meng Yan - MY - Asia
Shanping Li - CN - Asia
Xin Xia - CN - Asia
David Lo - MY - Asia
Zhiyuan Wan - HK - Asia
Qiuyuan Chen - TW - Asia</t>
  </si>
  <si>
    <t>Lu Zhang - ES - Europe
Tao Wang - CA - North America
Xing Hu - US - North America
Lutz Büch - DE - Europe
Artur Andrzejak - PL - Europe
Xing Hu - US - North America
Thomas Zimmermann - DE - Europe</t>
  </si>
  <si>
    <t>Lili Mou
Ge Li
Zhi Jin
Ge Li
Zhi Jin
Shanping Li
Zhiyuan Wan</t>
  </si>
  <si>
    <t>7 from 10</t>
  </si>
  <si>
    <t>Reference_List2_SANER2020_Pascal_Gadient</t>
  </si>
  <si>
    <t>80.49% male authors, (33)
12.20% female authors, (5)
7.32% authors of unknown gender. (3)</t>
  </si>
  <si>
    <t>Men: 36: 87.80%
Women: 5: 12.20%</t>
  </si>
  <si>
    <t xml:space="preserve">Yajin Zhou - X is M
Xuxian Jiang - X is M
P. M. Frischknecht - X is M 
</t>
  </si>
  <si>
    <t>Yajin Zhou - M 
Lei Wu - M 
Zhi Wang - M 
Xuxian Jiang - M 
Vaibhav Rastogi - M 
Rui Shao - M 
Yan Chen - M 
Xiang Pan - M 
Shihong Zou - M 
Ryan Riley - M 
Chaoshun Zuo - M 
Zhiqiang Lin - M 
George Yee - M 
Mohammad Ghafari - M 
Pascal Gadient - M 
Oscar Nierstrasz - M 
Abner Mendoza - M 
Guofei Gu - M 
Claudio Corrodi - M 
Timo Spring - M 
Mohammad Ghafari - M 
Oscar Nierstrasz - M 
Lina Qiu - W 
Yingying Wang - W 
Julia Rubin - W 
Marianna Rapoport - W 
Philippe Suter - M 
Erik Wittern - M 
Ondřej Lhoták - M 
Julian Dolby - M 
Mohammad Ghafari - M 
Pascal Gadient - M 
Oscar Nierstrasz - M 
Pascal Gadient - M 
Mohammad Ghafari - M 
P. M. Frischknecht - M 
Oscar Nierstrasz - M 
Felix Pauck - M 
Eric Bodden - M 
Heike Wehrheim - W 
George Yee - M</t>
  </si>
  <si>
    <t>Yajin Zhou	CN
Lei Wu	CO
Zhi Wang	MY
Xuxian Jiang	CN
Vaibhav Rastogi	IN
Rui Shao	CN
Yan Chen	TW
Xiang Pan	CN
Shihong Zou	CN
Ryan Riley	US
Chaoshun Zuo	CN
Zhiqiang Lin	TW
George Yee	US
Mohammad Ghafari	IR
Pascal Gadient	CH
Oscar Nierstrasz	NL
Abner Mendoza	PA
Guofei Gu	CN
Claudio Corrodi	CH
Timo Spring	CH
Mohammad Ghafari	IR
Oscar Nierstrasz	NL
Lina Qiu	CN
Yingying Wang	CN
Julia Rubin	IL
Marianna Rapoport	IL
Philippe Suter	FR
Erik Wittern	DE
OndÅ™ej LhotÃ¡k	CZ
Julian Dolby	GB
Mohammad Ghafari	IR
Pascal Gadient	CH
Oscar Nierstrasz	NL
Pascal Gadient	CH
Mohammad Ghafari	IR
P. M. Frischknecht	CH
Oscar Nierstrasz	NL
Felix Pauck	DK
Eric Bodden	HN
Heike Wehrheim	US
George Yee	US</t>
  </si>
  <si>
    <t>Yajin Zhou - CN - Asia
Lei Wu - CO - SouthAmerica
Zhi Wang - MY - Asia
Xuxian Jiang - CN - Asia
Vaibhav Rastogi - IN - Asia
Rui Shao - CN - Asia
Yan Chen - TW - Asia
Xiang Pan - CN - Asia
Shihong Zou - CN - Asia
Ryan Riley - US - NorthAmerica
Chaoshun Zuo - CN - Asia
Zhiqiang Lin - TW - Asia
George Yee - US - NorthAmerica
Mohammad Ghafari - IR - Asia
Pascal Gadient - CH - Europe
Oscar Nierstrasz - NL - Europe
Abner Mendoza - PA - NorthAmerica
Guofei Gu - CN - Asia
Claudio Corrodi - CH - Europe
Timo Spring - CH - Europe
Mohammad Ghafari - IR - Asia
Oscar Nierstrasz - NL - Europe
Lina Qiu - CN - Asia
Yingying Wang - CN - Asia
Julia Rubin - IL - Asia
Marianna Rapoport - IL - Asia
Philippe Suter - FR - Europe
Erik Wittern - DE - Europe
Ondřej Lhoták - CZ - Europe
Julian Dolby - GB - Europe
Mohammad Ghafari - IR - Asia
Pascal Gadient - CH - Europe
Oscar Nierstrasz - NL - Europe
Pascal Gadient - CH - Europe
Mohammad Ghafari - IR - Asia
P. M. Frischknecht - CH - Europe
Oscar Nierstrasz - NL - Europe
Felix Pauck - DK - Europe
Eric Bodden - HN - NorthAmerica
Heike Wehrheim - US - NorthAmerica
George Yee - US - NorthAmerica</t>
  </si>
  <si>
    <t>Yajin Zhou - CN - Asia
Zhi Wang - MY - Asia
Xuxian Jiang - CN - Asia
Vaibhav Rastogi - IN - Asia
Rui Shao - CN - Asia
Yan Chen - TW - Asia
Xiang Pan - CN - Asia
Shihong Zou - CN - Asia
Chaoshun Zuo - CN - Asia
Zhiqiang Lin - TW - Asia
Mohammad Ghafari - IR - Asia
Guofei Gu - CN - Asia
Mohammad Ghafari - IR - Asia
Lina Qiu - CN - Asia
Yingying Wang - CN - Asia
Julia Rubin - IL - Asia
Marianna Rapoport - IL - Asia
Mohammad Ghafari - IR - Asia
Mohammad Ghafari - IR - Asia</t>
  </si>
  <si>
    <t>Lei Wu - CO - SouthAmerica
Ryan Riley - US - NorthAmerica
George Yee - US - NorthAmerica
Pascal Gadient - CH - Europe
Oscar Nierstrasz - NL - Europe
Abner Mendoza - PA - NorthAmerica
Claudio Corrodi - CH - Europe
Timo Spring - CH - Europe
Oscar Nierstrasz - NL - Europe
Philippe Suter - FR - Europe
Erik Wittern - DE - Europe
Ondřej Lhoták - CZ - Europe
Julian Dolby - GB - Europe
Pascal Gadient - CH - Europe
Oscar Nierstrasz - NL - Europe
Pascal Gadient - CH - Europe
P. M. Frischknecht - CH - Europe
Oscar Nierstrasz - NL - Europe
Felix Pauck - DK - Europe
Eric Bodden - HN - NorthAmerica
Heike Wehrheim - US - NorthAmerica
George Yee - US - NorthAmerica</t>
  </si>
  <si>
    <t xml:space="preserve">Yajin Zhou 
Xuxian Jiang </t>
  </si>
  <si>
    <t>Reference_List27_SANER2024_Yunfan_Zhan</t>
  </si>
  <si>
    <t>90.00% male authors, 
10.00% female authors, 
0.00% authors of unknown gender.</t>
  </si>
  <si>
    <t xml:space="preserve">90.00% male authors, (9)
10.00% female authors, (1)
</t>
  </si>
  <si>
    <t>Huan Feng - M 
Kang G. Shin - M 
Antonio Ken Iannillo - M 
Roberto Natella - M 
Domenico Cotroneo - M 
Cristina Nita-Rotaru - W 
Xiaogang Zhu - M 
Sheng Wen - M 
Seyit Camtepe - M 
Yang Xiang - M</t>
  </si>
  <si>
    <t>Huan Feng	CN
Kang G. Shin	KR
Antonio Ken Iannillo	IT
Roberto Natella	IT
Domenico Cotroneo	IT
Cristina Nita-Rotaru	unknown
Xiaogang Zhu	CN
Sheng Wen	SG
Seyit Camtepe	BE
Yang Xiang	CN</t>
  </si>
  <si>
    <t>Huan Feng - CN - Asia
Kang G. Shin - KR - Asia
Antonio Ken Iannillo - IT - Europe
Roberto Natella - IT - Europe
Domenico Cotroneo - IT - Europe
Cristina Nita-Rotaru - unknown - Unknown
Xiaogang Zhu - CN - Asia
Sheng Wen - SG - Asia
Seyit Camtepe - BE - Europe
Yang Xiang - CN - Asia</t>
  </si>
  <si>
    <t>Huan Feng - CN - Asia
Kang G. Shin - KR - Asia
Xiaogang Zhu - CN - Asia
Sheng Wen - SG - Asia
Yang Xiang - CN - Asia</t>
  </si>
  <si>
    <t>Antonio Ken Iannillo - IT - Europe
Roberto Natella - IT - Europe
Domenico Cotroneo - IT - Europe
Cristina Nita-Rotaru - unknown - Unknown
Seyit Camtepe - BE - Europe</t>
  </si>
  <si>
    <t>Reference_List29_SANER2022_Hung_Nguyen</t>
  </si>
  <si>
    <t>88.37% male authors, (38)
6.98% female authors, (3)
4.65% authors of unknown gender. (2)</t>
  </si>
  <si>
    <t>Men: 39: 90.69%
Women: 4 : 9.30%</t>
  </si>
  <si>
    <t xml:space="preserve">J. Derrac - X is M
Nyyti Saarimäki - X is W 
</t>
  </si>
  <si>
    <t xml:space="preserve">Francisco Zigmund Sokol - M
Maurício Aniche - M
Marco Aurélio Gerosa - M
Georgios Gousios - M
Jesús Alcalá‐Fdez - M
Alberto Fernández - M
Julián Luengo - M
J. Derrac - M
Salvador García - M
Luciano Sánchez - M
Francisco Herrera - M
Marco Ortu - M
Giuseppe Destefanis - M
Bram Adams - M
Alessandro Murgia - M
Michele Marchesi - M
Roberto Tonelli - M
Andy Zaidman - M
Bart Van Rompaey - M
Serge Demeyer - M
Arie van Deursen - M
Jacek Śliwerski - M
Thomas Zimmermann - M
Andreas Zeller - M
Davide Spadini - M
Maurício Aniche - M
Alberto Bacchelli - M
D. R. Cox - M
Kathryn Yusoff - W
Valentina Lenarduzzi - W
Francesco Lomio - M
Heikki Huttunen - M
Davide Taibi - M
Valentina Lenarduzzi - W
Nyyti Saarimäki - W
Davide Taibi - M
Santiago Dueñas - M
Valerio Cosentino - M
Jesús M. González-Barahona - M
Alvaro del Castillo San Félix - M
Daniel Izquierdo-Cortázar - M
Luis Cañas-Díaz - M
Alberto Pérez García-Plaza - M
</t>
  </si>
  <si>
    <t>Francisco Zigmund Sokol	UA
MaurÃ­cio Aniche	NG
Marco AurÃ©lio Gerosa	IT
Georgios Gousios	GR
JesÃºs AlcalÃ¡â€Fdez	unknown
Alberto FernÃ¡ndez	UY
JuliÃ¡n Luengo	CL
J. Derrac	FR
Salvador GarcÃ­a	ES
Luciano SÃ¡nchez	MX
Francisco Herrera	MX
Marco Ortu	IT
Giuseppe Destefanis	AR
Bram Adams	US
Alessandro Murgia	IT
Michele Marchesi	IT
Roberto Tonelli	IT
Andy Zaidman	IL
Bart Van Rompaey	BE
Serge Demeyer	BE
Arie van Deursen	NL
Jacek Åšliwerski	PL
Thomas Zimmermann	DE
Andreas Zeller	CH
Davide Spadini	IT
MaurÃ­cio Aniche	NG
Alberto Bacchelli	IT
D. R. Cox	US
Kathryn Yusoff	MY
Valentina Lenarduzzi	AR
Francesco Lomio	PH
Heikki Huttunen	FI
Davide Taibi	DZ
Valentina Lenarduzzi	AR
Nyyti SaarimÃ¤ki	FI
Davide Taibi	DZ
Santiago DueÃ±as	PE
Valerio Cosentino	IT
JesÃºs M. GonzÃ¡lez-Barahona	IR
Alvaro del Castillo San FÃ©lix	PA
Daniel Izquierdo-CortÃ¡zar	unknown
Luis CaÃ±as-DÃ­az	ES
Alberto PÃ©rez GarcÃ­a-Plaza	GT</t>
  </si>
  <si>
    <t>Francisco Zigmund Sokol - UA - Europe
Maurício Aniche - NG - Africa
Marco Aurélio Gerosa - IT - Europe
Georgios Gousios - GR - Europe
Jesús Alcalá-Fdez - unknown - Unknown
Alberto Fernández - UY - SouthAmerica
Julián Luengo - CL - SouthAmerica
J. Derrac - FR - Europe
Salvador García - ES - Europe
Luciano Sánchez - MX - NorthAmerica
Francisco Herrera - MX - NorthAmerica
Marco Ortu - IT - Europe
Giuseppe Destefanis - AR - SouthAmerica
Bram Adams - US - NorthAmerica
Alessandro Murgia - IT - Europe
Michele Marchesi - IT - Europe
Roberto Tonelli - IT - Europe
Andy Zaidman - IL - Asia
Bart Van Rompaey - BE - Europe
Serge Demeyer - BE - Europe
Arie van Deursen - NL - Europe
Jacek Śliwerski - PL - Europe
Thomas Zimmermann - DE - Europe
Andreas Zeller - CH - Europe
Davide Spadini - IT - Europe
Maurício Aniche - NG - Africa
Alberto Bacchelli - IT - Europe
D. R. Cox - US - NorthAmerica
Kathryn Yusoff - MY - Asia
Valentina Lenarduzzi - AR - SouthAmerica
Francesco Lomio - PH - Asia
Heikki Huttunen - FI - Europe
Davide Taibi - DZ - Africa
Valentina Lenarduzzi - AR - SouthAmerica
Nyyti Saarimäki - FI - Europe
Davide Taibi - DZ - Africa
Santiago Dueñas - PE - SouthAmerica
Valerio Cosentino - IT - Europe
Jesús M. González-Barahona - IR - Asia
Alvaro del Castillo San Félix - PA - NorthAmerica
Daniel Izquierdo-Cortázar - unknown - Unknown
Luis Cañas-Díaz - ES - Europe
Alberto Pérez García-Plaza - GT - NorthAmerica</t>
  </si>
  <si>
    <t>Andy Zaidman - IL - Asia
Kathryn Yusoff - MY - Asia
Francesco Lomio - PH - Asia
Jesús M. González-Barahona - IR - Asia</t>
  </si>
  <si>
    <t>Francisco Zigmund Sokol - UA - Europe
Maurício Aniche - NG - Africa
Marco Aurélio Gerosa - IT - Europe
Georgios Gousios - GR - Europe
Jesús Alcalá-Fdez - unknown - Unknown
Alberto Fernández - UY - SouthAmerica
Julián Luengo - CL - SouthAmerica
J. Derrac - FR - Europe
Salvador García - ES - Europe
Luciano Sánchez - MX - NorthAmerica
Francisco Herrera - MX - NorthAmerica
Marco Ortu - IT - Europe
Giuseppe Destefanis - AR - SouthAmerica
Bram Adams - US - NorthAmerica
Alessandro Murgia - IT - Europe
Michele Marchesi - IT - Europe
Roberto Tonelli - IT - Europe
Bart Van Rompaey - BE - Europe
Serge Demeyer - BE - Europe
Arie van Deursen - NL - Europe
Jacek Śliwerski - PL - Europe
Thomas Zimmermann - DE - Europe
Andreas Zeller - CH - Europe
Davide Spadini - IT - Europe
Maurício Aniche - NG - Africa
Alberto Bacchelli - IT - Europe
D. R. Cox - US - NorthAmerica
Valentina Lenarduzzi - AR - SouthAmerica
Heikki Huttunen - FI - Europe
Davide Taibi - DZ - Africa
Valentina Lenarduzzi - AR - SouthAmerica
Nyyti Saarimäki - FI - Europe
Davide Taibi - DZ - Africa
Santiago Dueñas - PE - SouthAmerica
Valerio Cosentino - IT - Europe
Alvaro del Castillo San Félix - PA - NorthAmerica
Daniel Izquierdo-Cortázar - unknown - Unknown
Luis Cañas-Díaz - ES - Europe
Alberto Pérez García-Plaza - GT - NorthAmerica</t>
  </si>
  <si>
    <t>Reference_List3_SANER2024_Richard_Hutcheson</t>
  </si>
  <si>
    <t>78.83% male authors, (108)
19.71% female authors, (27)
1.46% authors of unknown gender (2)</t>
  </si>
  <si>
    <t>Men: 113: 82.48%
Women: 24: 17.52%</t>
  </si>
  <si>
    <t xml:space="preserve">Andrea Rubini - W is M
S. Arcioni - X is M
Jean‐Marc Aury - W is M
Andrea Brenna - W is M
C. Verhoef - X is M
Wenyun Zhao - W is M
Nour Alí - M is W
</t>
  </si>
  <si>
    <t>Ron K. Cytron - M 
Jeanne Ferrante - W 
Barry K. Rosen - M 
Mark N. Wegman - M 
F. Kenneth Zadeck - M 
Francis Martin - M 
Annegret Kohler - W 
Claude Murat - M 
Raffaella Balestrini - W 
Pedro M. Coutinho - M 
Olivier Jaillon - M 
Barbara Montanini - W 
Emmanuelle Morin - W 
Benjamin Noël - M 
Riccardo Percudani - M 
Betina M. Porcel - W 
Andrea Rubini - M 
Antonella Amicucci - W 
Joëlle Amselem - W 
Véronique Anthouard - W 
S. Arcioni - M 
François Artiguenave - M 
Jean‐Marc Aury - M 
Paola Ballario - W 
Angelo Bolchi - M 
Andrea Brenna - M 
Annick Brun - W 
Marc Buée - M 
Brandi Cantarel - W 
Gérard Chevalier - M 
Arnaud Couloux - M 
Corinne Da Silva - W 
France Denœud - W 
Sébastien Duplessis - M 
Stefano Ghignone - M 
Benoît Hilselberger - M 
Mirco Iotti - M 
Benoît Marçais - M 
Antonietta Mello - W 
Michele Miranda - M 
Giovanni Pacioni - M 
Hadi Quesneville - M 
Claudia Riccioni - W 
Roberta Ruotolo - W 
Richard Splivallo - M 
Vilberto Stocchi - M 
Émilie Tisserant - W 
Arturo R. Viscomi - M 
Alessandra Zambonelli - W 
Elisa Zampieri - W 
Bernard Henrissat - M 
Marc‐Henri Lebrun - M 
Francesco Paolocci - M 
Paola Bonfante - W 
Simone Ottonello - M 
Patrick Wincker - M 
Thomas Würthinger - M 
Andreas Wöß - M 
Lukas Stadler - M 
Gilles Duboscq - M 
Doug Simon - M 
Christian Wimmer - M 
Thomas Würthinger - M 
Christian Wimmer - M 
Andreas Wöß - M 
Lukas Stadler - M 
Gilles Duboscq - M 
Christian Humer - M 
Gregor Richards - M 
Doug Simon - M 
Mario Wolczko - M 
Liam O’Brien - M 
Christoph Stoermer - M 
C. Verhoef - M 
Cliff Click - M 
Keith D. Cooper - M 
Bernard Comrie - M 
R. E. Asher - M 
J. M. Y. Simpson - M 
Davy Landman - M 
Alexander Serebrenik - M 
Jurgen Vinju - M 
Giona Granchelli - M 
Mario Cardarelli - M 
Paolo Di Francesco - M 
Ivano Malavolta - M 
Ludovico Iovino - M 
Amleto Di Salle - M 
Benjamin Mayer - M 
Rainer Weinreich - M 
Martin Kleehaus - M 
Ömer Uludağ - M 
Patrick Schäfer - M 
Florian Matthes - M 
Xiang Zhou - M 
Xin Peng - M 
Tao Xie - M 
Jun Sun - M 
Chenjie Xu - M 
Chao Ji - M 
Wenyun Zhao - M 
Nuha Alshuqayran - W 
Nour Alí - W 
Roger Evans - M 
Christian Wimmer - M 
Codruţ Stancu - M 
Peter Höfer - M 
Vojin Jovanović - M 
Paul Wögerer - M 
Peter B. Kessler - M 
Oleg Pliss - M 
Thomas Würthinger - M 
Florian Rademacher - M 
Sabine Sachweh - W 
Albert Zündorf - M 
Dipta Das - M 
Andrew Walker - M 
Vincent Bushong - M 
Jan Svacina - M 
Tomáš Černý - M 
Vashek Matyáš - M 
Andrew Walker - M 
Ian Laird - M 
Tomáš Černý - M 
Micah Schiewe - M 
Jacob Curtis - M 
Vincent Bushong - M 
Tomáš Černý - M 
Abdullah Al Maruf - M 
Alexander Bakhtin - M 
Tomáš Černý - M 
Davide Taibi - M 
Tomáš Černý - M 
Amr S. Abdelfattah - M 
Vincent Bushong - M 
Abdullah Al Maruf - M 
Davide Taibi - M</t>
  </si>
  <si>
    <t>Ron K. Cytron	US
Jeanne Ferrante	IT
Barry K. Rosen	US
Mark N. Wegman	NL
F. Kenneth Zadeck	KM
Francis Martin	JM
Annegret Kohler	CH
Claude Murat	RW
Raffaella Balestrini	VE
Pedro M. Coutinho	PT
Olivier Jaillon	FR
Barbara Montanini	IT
Emmanuelle Morin	CA
Benjamin NoÃ«l	BE
Riccardo Percudani	IT
Betina M. Porcel	BO
Andrea Rubini	IT
Antonella Amicucci	IT
JoÃ«lle Amselem	IL
VÃ©ronique Anthouard	FR
S. Arcioni	IT
FranÃ§ois Artiguenave	AR
Jeanâ€Marc Aury	unknown
Paola Ballario	AR
Angelo Bolchi	IT
Andrea Brenna	HU
Annick Brun	UY
Marc BuÃ©e	FR
Brandi Cantarel	FR
GÃ©rard Chevalier	FR
Arnaud Couloux	LU
Corinne Da Silva	PT
France DenÅ“ud	unknown
SÃ©bastien Duplessis	ZA
Stefano Ghignone	IT
BenoÃ®t Hilselberger	FR
Mirco Iotti	IT
BenoÃ®t MarÃ§ais	FR
Antonietta Mello	BR
Michele Miranda	PA
Giovanni Pacioni	IT
Hadi Quesneville	DK
Claudia Riccioni	IT
Roberta Ruotolo	IT
Richard Splivallo	unknown
Vilberto Stocchi	IT
Ã‰milie Tisserant	FR
Arturo R. Viscomi	IT
Alessandra Zambonelli	IT
Elisa Zampieri	IT
Bernard Henrissat	FR
Marcâ€Henri Lebrun	unknown
Francesco Paolocci	IT
Paola Bonfante	IT
Simone Ottonello	UY
Patrick Wincker	FR
Thomas WÃ¼rthinger	AT
Andreas WÃ¶ÃŸ	AT
Lukas Stadler	AT
Gilles Duboscq	FR
Doug Simon	HU
Christian Wimmer	AT
Thomas WÃ¼rthinger	AT
Christian Wimmer	AT
Andreas WÃ¶ÃŸ	AT
Lukas Stadler	AT
Gilles Duboscq	FR
Christian Humer	AT
Gregor Richards	JM
Doug Simon	HU
Mario Wolczko	PL
Liam Oâ€™Brien	IE
Christoph Stoermer	DE
C. Verhoef	NL
Cliff Click	US
Keith D. Cooper	US
Bernard Comrie	JM
R. E. Asher	IR
J. M. Y. Simpson	US
Davy Landman	NL
Alexander Serebrenik	IL
Jurgen Vinju	NL
Giona Granchelli	IT
Mario Cardarelli	IT
Paolo Di Francesco	IT
Ivano Malavolta	IT
Ludovico Iovino	IT
Amleto Di Salle	FR
Benjamin Mayer	US
Rainer Weinreich	DK
Martin Kleehaus	CH
Ã–mer UludaÄŸ	TR
Patrick SchÃ¤fer	DE
Florian Matthes	DE
Xiang Zhou	CN
Xin Peng	FR
Tao Xie	CN
Jun Sun	MY
Chenjie Xu	CN
Chao Ji	CN
Wenyun Zhao	CN
Nuha Alshuqayran	SA
Nour AlÃ­	LB
Roger Evans	RU
Christian Wimmer	AT
CodruÅ£ Stancu	RO
Peter HÃ¶fer	AT
Vojin JovanoviÄ‡	RS
Paul WÃ¶gerer	AT
Peter B. Kessler	US
Oleg Pliss	UA
Thomas WÃ¼rthinger	AT
Florian Rademacher	DE
Sabine Sachweh	DE
Albert ZÃ¼ndorf	DE
Dipta Das	BD
Andrew Walker	US
Vincent Bushong	US
Jan Svacina	CZ
TomÃ¡Å¡ ÄŒernÃ½	CZ
Vashek MatyÃ¡Å¡	CZ
Andrew Walker	US
Ian Laird	US
TomÃ¡Å¡ ÄŒernÃ½	CZ
Micah Schiewe	DE
Jacob Curtis	US
Vincent Bushong	US
TomÃ¡Å¡ ÄŒernÃ½	CZ
Abdullah Al Maruf	BD
Alexander Bakhtin	RU
TomÃ¡Å¡ ÄŒernÃ½	CZ
Davide Taibi	DZ
TomÃ¡Å¡ ÄŒernÃ½	CZ
Amr S. Abdelfattah	EG
Vincent Bushong	US
Abdullah Al Maruf	BD
Davide Taibi	DZ</t>
  </si>
  <si>
    <t>Ron K. Cytron - US - NorthAmerica
Jeanne Ferrante - IT - Europe
Barry K. Rosen - US - NorthAmerica
Mark N. Wegman - NL - Europe
F. Kenneth Zadeck - KM - Africa
Francis Martin - JM - NorthAmerica
Annegret Kohler - CH - Europe
Claude Murat - RW - Africa
Raffaella Balestrini - VE - SouthAmerica
Pedro M. Coutinho - PT - Europe
Olivier Jaillon - FR - Europe
Barbara Montanini - IT - Europe
Emmanuelle Morin - CA - NorthAmerica
Benjamin Noël - BE - Europe
Riccardo Percudani - IT - Europe
Betina M. Porcel - BO - SouthAmerica
Andrea Rubini - IT - Europe
Antonella Amicucci - IT - Europe
Joëlle Amselem - IL - Asia
Véronique Anthouard - FR - Europe
S. Arcioni - IT - Europe
François Artiguenave - AR - SouthAmerica
Jean-Marc Aury - unknown - Unknown
Paola Ballario - AR - SouthAmerica
Angelo Bolchi - IT - Europe
Andrea Brenna - HU - Europe
Annick Brun - UY - SouthAmerica
Marc Buée - FR - Europe
Brandi Cantarel - FR - Europe
Gérard Chevalier - FR - Europe
Arnaud Couloux - LU - Europe
Corinne Da Silva - PT - Europe
France Denœud - unknown - Unknown
Sébastien Duplessis - ZA - Africa
Stefano Ghignone - IT - Europe
Benoît Hilselberger - FR - Europe
Mirco Iotti - IT - Europe
Benoît Marçais - FR - Europe
Antonietta Mello - BR - SouthAmerica
Michele Miranda - PA - NorthAmerica
Giovanni Pacioni - IT - Europe
Hadi Quesneville - DK - Europe
Claudia Riccioni - IT - Europe
Roberta Ruotolo - IT - Europe
Richard Splivallo - unknown - Unknown
Vilberto Stocchi - IT - Europe
Émilie Tisserant - FR - Europe
Arturo R. Viscomi - IT - Europe
Alessandra Zambonelli - IT - Europe
Elisa Zampieri - IT - Europe
Bernard Henrissat - FR - Europe
Marc-Henri Lebrun - unknown - Unknown
Francesco Paolocci - IT - Europe
Paola Bonfante - IT - Europe
Simone Ottonello - UY - SouthAmerica
Patrick Wincker - FR - Europe
Thomas Würthinger - AT - Europe
Andreas Wöß - AT - Europe
Lukas Stadler - AT - Europe
Gilles Duboscq - FR - Europe
Doug Simon - HU - Europe
Christian Wimmer - AT - Europe
Thomas Würthinger - AT - Europe
Christian Wimmer - AT - Europe
Andreas Wöß - AT - Europe
Lukas Stadler - AT - Europe
Gilles Duboscq - FR - Europe
Christian Humer - AT - Europe
Gregor Richards - JM - NorthAmerica
Doug Simon - HU - Europe
Mario Wolczko - PL - Europe
Liam O’Brien - IE - Europe
Christoph Stoermer - DE - Europe
C. Verhoef - NL - Europe
Cliff Click - US - NorthAmerica
Keith D. Cooper - US - NorthAmerica
Bernard Comrie - JM - NorthAmerica
R. E. Asher - IR - Asia
J. M. Y. Simpson - US - NorthAmerica
Davy Landman - NL - Europe
Alexander Serebrenik - IL - Asia
Jurgen Vinju - NL - Europe
Giona Granchelli - IT - Europe
Mario Cardarelli - IT - Europe
Paolo Di Francesco - IT - Europe
Ivano Malavolta - IT - Europe
Ludovico Iovino - IT - Europe
Amleto Di Salle - FR - Europe
Benjamin Mayer - US - NorthAmerica
Rainer Weinreich - DK - Europe
Martin Kleehaus - CH - Europe
Ömer Uludağ - TR - Asia
Patrick Schäfer - DE - Europe
Florian Matthes - DE - Europe
Xiang Zhou - CN - Asia
Xin Peng - FR - Europe
Tao Xie - CN - Asia
Jun Sun - MY - Asia
Chenjie Xu - CN - Asia
Chao Ji - CN - Asia
Wenyun Zhao - CN - Asia
Nuha Alshuqayran - SA - Asia
Nour Alí - LB - Asia
Roger Evans - RU - Europe
Christian Wimmer - AT - Europe
Codruț Stancu - RO - Europe
Peter Höfer - AT - Europe
Vojin Jovanović - RS - Europe
Paul Wögerer - AT - Europe
Peter B. Kessler - US - NorthAmerica
Oleg Pliss - UA - Europe
Thomas Würthinger - AT - Europe
Florian Rademacher - DE - Europe
Sabine Sachweh - DE - Europe
Albert Zündorf - DE - Europe
Dipta Das - BD - Asia
Andrew Walker - US - NorthAmerica
Vincent Bushong - US - NorthAmerica
Jan Svacina - CZ - Europe
Tomáš Černý - CZ - Europe
Vashek Matyáš - CZ - Europe
Andrew Walker - US - NorthAmerica
Ian Laird - US - NorthAmerica
Tomáš Černý - CZ - Europe
Micah Schiewe - DE - Europe
Jacob Curtis - US - NorthAmerica
Vincent Bushong - US - NorthAmerica
Tomáš Černý - CZ - Europe
Abdullah Al Maruf - BD - Asia
Alexander Bakhtin - RU - Europe
Tomáš Černý - CZ - Europe
Davide Taibi - DZ - Africa
Tomáš Černý - CZ - Europe
Amr S. Abdelfattah - EG - Africa
Vincent Bushong - US - NorthAmerica
Abdullah Al Maruf - BD - Asia
Davide Taibi - DZ - Africa</t>
  </si>
  <si>
    <t>Joëlle Amselem - IL - Asia
R. E. Asher - IR - Asia
Alexander Serebrenik - IL - Asia
Ömer Uludağ - TR - Asia
Xiang Zhou - CN - Asia
Tao Xie - CN - Asia
Jun Sun - MY - Asia
Chenjie Xu - CN - Asia
Chao Ji - CN - Asia
Wenyun Zhao - CN - Asia
Nuha Alshuqayran - SA - Asia
Nour Alí - LB - Asia
Dipta Das - BD - Asia
Abdullah Al Maruf - BD - Asia
Abdullah Al Maruf - BD - Asia</t>
  </si>
  <si>
    <t>Ron K. Cytron - US - NorthAmerica
Jeanne Ferrante - IT - Europe
Barry K. Rosen - US - NorthAmerica
Mark N. Wegman - NL - Europe
F. Kenneth Zadeck - KM - Africa
Francis Martin - JM - NorthAmerica
Annegret Kohler - CH - Europe
Claude Murat - RW - Africa
Raffaella Balestrini - VE - SouthAmerica
Pedro M. Coutinho - PT - Europe
Olivier Jaillon - FR - Europe
Barbara Montanini - IT - Europe
Emmanuelle Morin - CA - NorthAmerica
Benjamin Noël - BE - Europe
Riccardo Percudani - IT - Europe
Betina M. Porcel - BO - SouthAmerica
Andrea Rubini - IT - Europe
Antonella Amicucci - IT - Europe
Véronique Anthouard - FR - Europe
S. Arcioni - IT - Europe
François Artiguenave - AR - SouthAmerica
Jean-Marc Aury - unknown - Unknown
Paola Ballario - AR - SouthAmerica
Angelo Bolchi - IT - Europe
Andrea Brenna - HU - Europe
Annick Brun - UY - SouthAmerica
Marc Buée - FR - Europe
Brandi Cantarel - FR - Europe
Gérard Chevalier - FR - Europe
Arnaud Couloux - LU - Europe
Corinne Da Silva - PT - Europe
France Denœud - unknown - Unknown
Sébastien Duplessis - ZA - Africa
Stefano Ghignone - IT - Europe
Benoît Hilselberger - FR - Europe
Mirco Iotti - IT - Europe
Benoît Marçais - FR - Europe
Antonietta Mello - BR - SouthAmerica
Michele Miranda - PA - NorthAmerica
Giovanni Pacioni - IT - Europe
Hadi Quesneville - DK - Europe
Claudia Riccioni - IT - Europe
Roberta Ruotolo - IT - Europe
Richard Splivallo - unknown - Unknown
Vilberto Stocchi - IT - Europe
Émilie Tisserant - FR - Europe
Arturo R. Viscomi - IT - Europe
Alessandra Zambonelli - IT - Europe
Elisa Zampieri - IT - Europe
Bernard Henrissat - FR - Europe
Marc-Henri Lebrun - unknown - Unknown
Francesco Paolocci - IT - Europe
Paola Bonfante - IT - Europe
Simone Ottonello - UY - SouthAmerica
Patrick Wincker - FR - Europe
Thomas Würthinger - AT - Europe
Andreas Wöß - AT - Europe
Lukas Stadler - AT - Europe
Gilles Duboscq - FR - Europe
Doug Simon - HU - Europe
Christian Wimmer - AT - Europe
Thomas Würthinger - AT - Europe
Christian Wimmer - AT - Europe
Andreas Wöß - AT - Europe
Lukas Stadler - AT - Europe
Gilles Duboscq - FR - Europe
Christian Humer - AT - Europe
Gregor Richards - JM - NorthAmerica
Doug Simon - HU - Europe
Mario Wolczko - PL - Europe
Liam O’Brien - IE - Europe
Christoph Stoermer - DE - Europe
C. Verhoef - NL - Europe
Cliff Click - US - NorthAmerica
Keith D. Cooper - US - NorthAmerica
Bernard Comrie - JM - NorthAmerica
J. M. Y. Simpson - US - NorthAmerica
Davy Landman - NL - Europe
Jurgen Vinju - NL - Europe
Giona Granchelli - IT - Europe
Mario Cardarelli - IT - Europe
Paolo Di Francesco - IT - Europe
Ivano Malavolta - IT - Europe
Ludovico Iovino - IT - Europe
Amleto Di Salle - FR - Europe
Benjamin Mayer - US - NorthAmerica
Rainer Weinreich - DK - Europe
Martin Kleehaus - CH - Europe
Patrick Schäfer - DE - Europe
Florian Matthes - DE - Europe
Xin Peng - FR - Europe
Roger Evans - RU - Europe
Christian Wimmer - AT - Europe
Codruț Stancu - RO - Europe
Peter Höfer - AT - Europe
Vojin Jovanović - RS - Europe
Paul Wögerer - AT - Europe
Peter B. Kessler - US - NorthAmerica
Oleg Pliss - UA - Europe
Thomas Würthinger - AT - Europe
Florian Rademacher - DE - Europe
Sabine Sachweh - DE - Europe
Albert Zündorf - DE - Europe
Andrew Walker - US - NorthAmerica
Vincent Bushong - US - NorthAmerica
Jan Svacina - CZ - Europe
Tomáš Černý - CZ - Europe
Vashek Matyáš - CZ - Europe
Andrew Walker - US - NorthAmerica
Ian Laird - US - NorthAmerica
Tomáš Černý - CZ - Europe
Micah Schiewe - DE - Europe
Jacob Curtis - US - NorthAmerica
Vincent Bushong - US - NorthAmerica
Tomáš Černý - CZ - Europe
Alexander Bakhtin - RU - Europe
Tomáš Černý - CZ - Europe
Davide Taibi - DZ - Africa
Tomáš Černý - CZ - Europe
Amr S. Abdelfattah - EG - Africa
Vincent Bushong - US - NorthAmerica
Davide Taibi - DZ - Africa</t>
  </si>
  <si>
    <t xml:space="preserve">Wenyun Zhao
Nour Alí </t>
  </si>
  <si>
    <t>2 from 7</t>
  </si>
  <si>
    <t>Reference_List5_SANER2022_Nitish_Patkar</t>
  </si>
  <si>
    <t>75.61% male authors, (31)
24.39% female authors, (10)
0.00% authors of unknown gender.</t>
  </si>
  <si>
    <t>Men: 29: 70.73%
Women: 12: 29.27%</t>
  </si>
  <si>
    <t xml:space="preserve">O. Gotel - M is W
O. Gotel - M is W
</t>
  </si>
  <si>
    <t>O. Gotel - W 
Anthony Finkelstein - M 
Hermann Kaindl - M 
Imran Mahmud - M 
Vito Veneziano - M 
Laura Carvajal - W 
Ana M. Moreno - W 
María-Isabel Sánchez-Segura - W 
Ahmed Seffah - M 
O. Gotel - W 
Clive Finkelstein - M 
Christoph Johann Stettina - M 
Egbert Kroon - M 
Charles W. Krueger - M 
Garm Lucassen - M 
Fabiano Dalpiaz - M 
Jan Martijn E. M. van der Werf - M 
Sjaak Brinkkemper - M 
Thiago Rocha Silva - M 
Jean-Luc Hak - M 
Marco Winckler - M 
Andrei Garcia - M 
Tiago Silva da Silva - M 
Milene Selbach Silveira - W 
Parisa Ghazi - W 
Martin Glinz - M 
Emad Aghajani - M 
Csaba Nagy - M 
Olga Lucero Vega-Márquez - W 
Mario Linares‐Vásquez - M 
Laura Moreno - W 
Gabriele Bavota - M 
Michele Lanza - M 
Susan C. Pearce - W 
Nitish Patkar - M 
Andrei Chiş - M 
Nataliia Stulova - W 
Oscar Nierstrasz - M 
Olga Liskin - W 
Matt Wynne - M 
Aslak Hellesoy - M</t>
  </si>
  <si>
    <t>O. Gotel	JE
Anthony Finkelstein	IL
Hermann Kaindl	AT
Imran Mahmud	BH
Vito Veneziano	IT
Laura Carvajal	BO
Ana M. Moreno	US
MarÃ­a-Isabel SÃ¡nchez-Segura	unknown
Ahmed Seffah	GH
O. Gotel	JE
Clive Finkelstein	IL
Christoph Johann Stettina	AT
Egbert Kroon	NL
Charles W. Krueger	US
Garm Lucassen	NL
Fabiano Dalpiaz	BR
Jan Martijn E. M. van der Werf	NL
Sjaak Brinkkemper	NL
Thiago Rocha Silva	PT
Jean-Luc Hak	KH
Marco Winckler	DK
Andrei Garcia	GT
Tiago Silva da Silva	PT
Milene Selbach Silveira	DE
Parisa Ghazi	IR
Martin Glinz	AT
Emad Aghajani	IR
Csaba Nagy	HU
Olga Lucero Vega-MÃ¡rquez	AR
Mario Linaresâ€VÃ¡squez	unknown
Laura Moreno	PE
Gabriele Bavota	IT
Michele Lanza	HN
Susan C. Pearce	AU
Nitish Patkar	IN
Andrei ChiÅŸ	RO
Nataliia Stulova	CZ
Oscar Nierstrasz	NL
Olga Liskin	EE
Matt Wynne	IE
Aslak Hellesoy	NO</t>
  </si>
  <si>
    <t>O. Gotel - JE - Europe
Anthony Finkelstein - IL - Asia
Hermann Kaindl - AT - Europe
Imran Mahmud - BH - Asia
Vito Veneziano - IT - Europe
Laura Carvajal - BO - SouthAmerica
Ana M. Moreno - US - NorthAmerica
María-Isabel Sánchez-Segura - unknown - Unknown
Ahmed Seffah - GH - Africa
O. Gotel - JE - Europe
Clive Finkelstein - IL - Asia
Christoph Johann Stettina - AT - Europe
Egbert Kroon - NL - Europe
Charles W. Krueger - US - NorthAmerica
Garm Lucassen - NL - Europe
Fabiano Dalpiaz - BR - SouthAmerica
Jan Martijn E. M. van der Werf - NL - Europe
Sjaak Brinkkemper - NL - Europe
Thiago Rocha Silva - PT - Europe
Jean-Luc Hak - KH - Asia
Marco Winckler - DK - Europe
Andrei Garcia - GT - NorthAmerica
Tiago Silva da Silva - PT - Europe
Milene Selbach Silveira - DE - Europe
Parisa Ghazi - IR - Asia
Martin Glinz - AT - Europe
Emad Aghajani - IR - Asia
Csaba Nagy - HU - Europe
Olga Lucero Vega-Márquez - AR - SouthAmerica
Mario Linares-Vásquez - unknown - Unknown
Laura Moreno - PE - SouthAmerica
Gabriele Bavota - IT - Europe
Michele Lanza - HN - NorthAmerica
Susan C. Pearce - AU - Oceania
Nitish Patkar - IN - Asia
Andrei Chiș - RO - Europe
Nataliia Stulova - CZ - Europe
Oscar Nierstrasz - NL - Europe
Olga Liskin - EE - Europe
Matt Wynne - IE - Europe
Aslak Hellesoy - NO - Europe</t>
  </si>
  <si>
    <t>Anthony Finkelstein - IL - Asia
Imran Mahmud - BH - Asia
Clive Finkelstein - IL - Asia
Jean-Luc Hak - KH - Asia
Parisa Ghazi - IR - Asia
Emad Aghajani - IR - Asia
Nitish Patkar - IN - Asia</t>
  </si>
  <si>
    <t>O. Gotel - JE - Europe
Hermann Kaindl - AT - Europe
Vito Veneziano - IT - Europe
Laura Carvajal - BO - SouthAmerica
Ana M. Moreno - US - NorthAmerica
María-Isabel Sánchez-Segura - unknown - Unknown
Ahmed Seffah - GH - Africa
O. Gotel - JE - Europe
Christoph Johann Stettina - AT - Europe
Egbert Kroon - NL - Europe
Charles W. Krueger - US - NorthAmerica
Garm Lucassen - NL - Europe
Fabiano Dalpiaz - BR - SouthAmerica
Jan Martijn E. M. van der Werf - NL - Europe
Sjaak Brinkkemper - NL - Europe
Thiago Rocha Silva - PT - Europe
Marco Winckler - DK - Europe
Andrei Garcia - GT - NorthAmerica
Tiago Silva da Silva - PT - Europe
Milene Selbach Silveira - DE - Europe
Martin Glinz - AT - Europe
Csaba Nagy - HU - Europe
Olga Lucero Vega-Márquez - AR - SouthAmerica
Mario Linares-Vásquez - unknown - Unknown
Laura Moreno - PE - SouthAmerica
Gabriele Bavota - IT - Europe
Michele Lanza - HN - NorthAmerica
Susan C. Pearce - AU - Oceania
Andrei Chiș - RO - Europe
Nataliia Stulova - CZ - Europe
Oscar Nierstrasz - NL - Europe
Olga Liskin - EE - Europe
Matt Wynne - IE - Europe
Aslak Hellesoy - NO - Europe</t>
  </si>
  <si>
    <t xml:space="preserve">Reference_List50_SANER2022_Christoph_Reile 
</t>
  </si>
  <si>
    <t>87.50% male authors, 
0.00% female authors, 
12.50% authors of unknown gender.</t>
  </si>
  <si>
    <t>Men: 9: 100%
Women: 0</t>
  </si>
  <si>
    <t>Angel Beltre - X is M</t>
  </si>
  <si>
    <t>Angel Beltre - M 
Pankaj Saha - M 
Madhusudhan Govindaraju - M 
Anshul Jindal - M 
Michael Gerndt - M 
Mohak Chadha - M 
Vladimir Podolskiy - M 
Pengfei Chen - M</t>
  </si>
  <si>
    <t>Angel Beltre	DO
Pankaj Saha	BD
Madhusudhan Govindaraju	LC
Anshul Jindal	IN
Michael Gerndt	DE
Mohak Chadha	IN
Vladimir Podolskiy	UA
Pengfei Chen	TW</t>
  </si>
  <si>
    <t>Angel Beltre - DO - NorthAmerica
Pankaj Saha - BD - Asia
Madhusudhan Govindaraju - LC - NorthAmerica
Anshul Jindal - IN - Asia
Michael Gerndt - DE - Europe
Mohak Chadha - IN - Asia
Vladimir Podolskiy - UA - Europe
Pengfei Chen - TW - Asia</t>
  </si>
  <si>
    <t>Pankaj Saha - BD - Asia
Anshul Jindal - IN - Asia
Mohak Chadha - IN - Asia
Pengfei Chen - TW - Asia</t>
  </si>
  <si>
    <t>Angel Beltre - DO - NorthAmerica
Madhusudhan Govindaraju - LC - NorthAmerica
Michael Gerndt - DE - Europe
Vladimir Podolskiy - UA - Europe</t>
  </si>
  <si>
    <t>Reference_List59_SANER2021_Marcel_Steinbeck.bib</t>
  </si>
  <si>
    <t xml:space="preserve">100.00% male authors, 
0.00% female authors, 
</t>
  </si>
  <si>
    <t>Les A. Piegl - M
Wayne Tiller - M
Frank Steinbrückner - M
Claus Lewerentz - M
Les A. Piegl - M
Danny Holten - M
Onur Rauf Bingöl - M
Adarsh Krishnamurthy - M
Marcel Steinbeck - M
Rainer Koschke - M
Marc O. Rüdel - M
Rainer Koschke - M
Marcel Steinbeck - M
Frank Steinbrückner - M</t>
  </si>
  <si>
    <t>Les A. Piegl	CZ
Wayne Tiller	US
Frank SteinbrÃ¼ckner	HR
Claus Lewerentz	SE
Les A. Piegl	CZ
Danny Holten	NO
Onur Rauf BingÃ¶l	TR
Adarsh Krishnamurthy	IN
Marcel Steinbeck	DE
Rainer Koschke	DE
Marc O. RÃ¼del	DE
Rainer Koschke	DE
Marcel Steinbeck	DE
Frank SteinbrÃ¼ckner	HR</t>
  </si>
  <si>
    <t>Les A. Piegl - CZ - Europe
Wayne Tiller - US - NorthAmerica
Frank Steinbrückner - HR - Europe
Claus Lewerentz - SE - Europe
Les A. Piegl - CZ - Europe
Danny Holten - NO - Europe
Onur Rauf Bingöl - TR - Asia
Adarsh Krishnamurthy - IN - Asia
Marcel Steinbeck - DE - Europe
Rainer Koschke - DE - Europe
Marc O. Rüdel - DE - Europe
Rainer Koschke - DE - Europe
Marcel Steinbeck - DE - Europe
Frank Steinbrückner - HR - Europe</t>
  </si>
  <si>
    <t>Onur Rauf Bingöl - TR - Asia
Adarsh Krishnamurthy - IN - Asia</t>
  </si>
  <si>
    <t>Les A. Piegl - CZ - Europe
Wayne Tiller - US - NorthAmerica
Frank Steinbrückner - HR - Europe
Claus Lewerentz - SE - Europe
Les A. Piegl - CZ - Europe
Danny Holten - NO - Europe
Marcel Steinbeck - DE - Europe
Rainer Koschke - DE - Europe
Marc O. Rüdel - DE - Europe
Rainer Koschke - DE - Europe
Marcel Steinbeck - DE - Europe
Frank Steinbrückner - HR - Europe</t>
  </si>
  <si>
    <t xml:space="preserve">Reference_List59_SANER2023_Elliott_Wen
</t>
  </si>
  <si>
    <t>95.24% male authors, (40)
4.76% female authors, (2)
0.00% authors of unknown gender.</t>
  </si>
  <si>
    <t>Men: 41: 97.62%
Women: 1: 2.39%</t>
  </si>
  <si>
    <t>Gai Liu - W is M</t>
  </si>
  <si>
    <t>Gurmeet Singh Manku - M 
Rajeev Motwani - M 
Scott Davidson - M 
Shaolin Xie - M 
Christopher Torng - M 
Khalid Al-Hawai - M 
Austin Rovinski - M 
Tutu Ajayi - M 
Luis Vega - M 
Chun Zhao - M 
Ritchie Zhao - M 
Steve Dai - M 
Aporva Amarnath - M 
Bandhav Veluri - M 
Paul Gao - M 
Anuj Rao - M 
Gai Liu - M 
Rajesh K. Gupta - M 
Zhiru Zhang - M 
Ronald Dreslinski - M 
Christopher Batten - M 
Michael Taylor - M 
Victor Le Pochat - M 
Tom Van Goethem - M 
Samaneh Tajalizadehkhoob - W 
Maciej Korczyński - M 
Wouter Joosen - M 
Niko Mäkitalo - M 
Victor Bankowski - M 
Paulius Daubaris - M 
Risto Mikkola - M 
Oleg Beletski - M 
Tommi Mikkonen - M 
Andreas Haas - M 
Andreas Rossberg - M 
Derek L. Schuff - M 
Ben L. Titzer - M 
Michael Holman - M 
Dan Gohman - M 
Luke Wagner - M 
Alon Zakai - M 
JF Bastien - M</t>
  </si>
  <si>
    <t>Gurmeet Singh Manku	GB
Rajeev Motwani	IN
Scott Davidson	CL
Shaolin Xie	CN
Christopher Torng	TW
Khalid Al-Hawai	unknown
Austin Rovinski	US
Tutu Ajayi	GB
Luis Vega	PA
Chun Zhao	CN
Ritchie Zhao	CN
Steve Dai	CN
Aporva Amarnath	IN
Bandhav Veluri	IN
Paul Gao	CN
Anuj Rao	IN
Gai Liu	CN
Rajesh K. Gupta	IN
Zhiru Zhang	CN
Ronald Dreslinski	US
Christopher Batten	US
Michael Taylor	US
Victor Le Pochat	FR
Tom Van Goethem	BE
Samaneh Tajalizadehkhoob	IR
Maciej KorczyÅ„ski	PL
Wouter Joosen	NL
Niko MÃ¤kitalo	FI
Victor Bankowski	US
Paulius Daubaris	LT
Risto Mikkola	FI
Oleg Beletski	FI
Tommi Mikkonen	FI
Andreas Haas	AT
Andreas Rossberg	DE
Derek L. Schuff	DE
Ben L. Titzer	US
Michael Holman	US
Dan Gohman	US
Luke Wagner	AT
Alon Zakai	IL
JF Bastien	AO</t>
  </si>
  <si>
    <t>Gurmeet Singh Manku - GB - Europe
Rajeev Motwani - IN - Asia
Scott Davidson - CL - SouthAmerica
Shaolin Xie - CN - Asia
Christopher Torng - TW - Asia
Khalid Al-Hawai - unknown - Unknown
Austin Rovinski - US - NorthAmerica
Tutu Ajayi - GB - Europe
Luis Vega - PA - NorthAmerica
Chun Zhao - CN - Asia
Ritchie Zhao - CN - Asia
Steve Dai - CN - Asia
Aporva Amarnath - IN - Asia
Bandhav Veluri - IN - Asia
Paul Gao - CN - Asia
Anuj Rao - IN - Asia
Gai Liu - CN - Asia
Rajesh K. Gupta - IN - Asia
Zhiru Zhang - CN - Asia
Ronald Dreslinski - US - NorthAmerica
Christopher Batten - US - NorthAmerica
Michael Taylor - US - NorthAmerica
Victor Le Pochat - FR - Europe
Tom Van Goethem - BE - Europe
Samaneh Tajalizadehkhoob - IR - Asia
Maciej Korczyński - PL - Europe
Wouter Joosen - NL - Europe
Niko Mäkitalo - FI - Europe
Victor Bankowski - US - NorthAmerica
Paulius Daubaris - LT - Europe
Risto Mikkola - FI - Europe
Oleg Beletski - FI - Europe
Tommi Mikkonen - FI - Europe
Andreas Haas - AT - Europe
Andreas Rossberg - DE - Europe
Derek L. Schuff - DE - Europe
Ben L. Titzer - US - NorthAmerica
Michael Holman - US - NorthAmerica
Dan Gohman - US - NorthAmerica
Luke Wagner - AT - Europe
Alon Zakai - IL - Asia
JF Bastien - AO - Africa</t>
  </si>
  <si>
    <t>Rajeev Motwani - IN - Asia
Shaolin Xie - CN - Asia
Christopher Torng - TW - Asia
Chun Zhao - CN - Asia
Ritchie Zhao - CN - Asia
Steve Dai - CN - Asia
Aporva Amarnath - IN - Asia
Bandhav Veluri - IN - Asia
Paul Gao - CN - Asia
Anuj Rao - IN - Asia
Gai Liu - CN - Asia
Rajesh K. Gupta - IN - Asia
Zhiru Zhang - CN - Asia
Samaneh Tajalizadehkhoob - IR - Asia
Alon Zakai - IL - Asia</t>
  </si>
  <si>
    <t>Gurmeet Singh Manku - GB - Europe
Scott Davidson - CL - SouthAmerica
Khalid Al-Hawai - unknown - Unknown
Austin Rovinski - US - NorthAmerica
Tutu Ajayi - GB - Europe
Luis Vega - PA - NorthAmerica
Ronald Dreslinski - US - NorthAmerica
Christopher Batten - US - NorthAmerica
Michael Taylor - US - NorthAmerica
Victor Le Pochat - FR - Europe
Tom Van Goethem - BE - Europe
Maciej Korczyński - PL - Europe
Wouter Joosen - NL - Europe
Niko Mäkitalo - FI - Europe
Victor Bankowski - US - NorthAmerica
Paulius Daubaris - LT - Europe
Risto Mikkola - FI - Europe
Oleg Beletski - FI - Europe
Tommi Mikkonen - FI - Europe
Andreas Haas - AT - Europe
Andreas Rossberg - DE - Europe
Derek L. Schuff - DE - Europe
Ben L. Titzer - US - NorthAmerica
Michael Holman - US - NorthAmerica
Dan Gohman - US - NorthAmerica
Luke Wagner - AT - Europe
JF Bastien - AO - Africa</t>
  </si>
  <si>
    <t>Gai Liu</t>
  </si>
  <si>
    <t>Reference_List6_SANER2022_Francesco_Lomio</t>
  </si>
  <si>
    <t>75.00% male authors, (36)
20.83% female authors, (10)
4.17% authors of unknown gender. (2)</t>
  </si>
  <si>
    <t>Men: 36: 75%
Women: 12: 25%</t>
  </si>
  <si>
    <t>Nyyti Saarimäki - X is W 
Nyyti Saarimäki - X is W</t>
  </si>
  <si>
    <t>Eetu Kupiainen - M 
Mika Mäntylä - M 
Juha Itkonen - M 
Valentina Lenarduzzi - W 
Christian Stan - M 
Davide Taibi - M 
Davide Tosi - M 
Gustavs Venters - M 
Davide Taibi - M 
Valentina Lenarduzzi - W 
Claus Pahl - M 
Davide Taibi - M 
Valentina Lenarduzzi - W 
Jacopo Soldani - M 
Damian A. Tamburri - M 
Willem‐Jan van den Heuvel - M 
Valentina Lenarduzzi - W 
Outi Sievi-Korte - W 
Davide Taibi - M 
Valentina Lenarduzzi - W 
Claus Pahl - M 
Florian Auer - M 
Valentina Lenarduzzi - W 
Michael Felderer - M 
Davide Taibi - M 
Valentina Lenarduzzi - W 
Francesco Lomio - M 
Nyyti Saarimäki - W 
Davide Taibi - M 
Marc Sallin - M 
Martin Kropp - M 
Craig Anslow - M 
J. W. Quilty - M 
Andreas Meier - M 
Valentina Lenarduzzi - W 
Antonio Martini - M 
Nyyti Saarimäki - W 
Damian A. Tamburri - M 
Hung T. Nguyen - M 
Francesco Lomio - M 
Fabiano Pecorelli - M 
Valentina Lenarduzzi - W 
Claes Wohlin - M 
Per Runeson - M 
Martin Höst - M 
Magnus C. Ohlsson - M 
Björn Regnell - M 
Anders Wesslén - M</t>
  </si>
  <si>
    <t>Eetu Kupiainen	FI
Mika MÃ¤ntylÃ¤	FI
Juha Itkonen	FI
Valentina Lenarduzzi	AR
Christian Stan	RO
Davide Taibi	DZ
Davide Tosi	IT
Gustavs Venters	US
Davide Taibi	DZ
Valentina Lenarduzzi	AR
Claus Pahl	DE
Davide Taibi	DZ
Valentina Lenarduzzi	AR
Jacopo Soldani	IT
Damian A. Tamburri	IT
Willemâ€Jan van den Heuvel	NL
Valentina Lenarduzzi	AR
Outi Sievi-Korte	FI
Davide Taibi	DZ
Valentina Lenarduzzi	AR
Claus Pahl	DE
Florian Auer	AT
Valentina Lenarduzzi	AR
Michael Felderer	AT
Davide Taibi	DZ
Valentina Lenarduzzi	AR
Francesco Lomio	PH
Nyyti SaarimÃ¤ki	FI
Davide Taibi	DZ
Marc Sallin	CH
Martin Kropp	DE
Craig Anslow	GB
J. W. Quilty	IE
Andreas Meier	CH
Valentina Lenarduzzi	AR
Antonio Martini	IT
Nyyti SaarimÃ¤ki	FI
Damian A. Tamburri	IT
Hung T. Nguyen	VN
Francesco Lomio	PH
Fabiano Pecorelli	IT
Valentina Lenarduzzi	AR
Claes Wohlin	SE
Per Runeson	SE
Martin HÃ¶st	SE
Magnus C. Ohlsson	SE
BjÃ¶rn Regnell	SE
Anders WesslÃ©n	SE</t>
  </si>
  <si>
    <t>Eetu Kupiainen - FI - Europe
Mika Mäntylä - FI - Europe
Juha Itkonen - FI - Europe
Valentina Lenarduzzi - AR - SouthAmerica
Christian Stan - RO - Europe
Davide Taibi - DZ - Africa
Davide Tosi - IT - Europe
Gustavs Venters - US - NorthAmerica
Davide Taibi - DZ - Africa
Valentina Lenarduzzi - AR - SouthAmerica
Claus Pahl - DE - Europe
Davide Taibi - DZ - Africa
Valentina Lenarduzzi - AR - SouthAmerica
Jacopo Soldani - IT - Europe
Damian A. Tamburri - IT - Europe
Willem-Jan van den Heuvel - NL - Europe
Valentina Lenarduzzi - AR - SouthAmerica
Outi Sievi-Korte - FI - Europe
Davide Taibi - DZ - Africa
Valentina Lenarduzzi - AR - SouthAmerica
Claus Pahl - DE - Europe
Florian Auer - AT - Europe
Valentina Lenarduzzi - AR - SouthAmerica
Michael Felderer - AT - Europe
Davide Taibi - DZ - Africa
Valentina Lenarduzzi - AR - SouthAmerica
Francesco Lomio - PH - Asia
Nyyti Saarimäki - FI - Europe
Davide Taibi - DZ - Africa
Marc Sallin - CH - Europe
Martin Kropp - DE - Europe
Craig Anslow - GB - Europe
J. W. Quilty - IE - Europe
Andreas Meier - CH - Europe
Valentina Lenarduzzi - AR - SouthAmerica
Antonio Martini - IT - Europe
Nyyti Saarimäki - FI - Europe
Damian A. Tamburri - IT - Europe
Hung T. Nguyen - VN - Asia
Francesco Lomio - PH - Asia
Fabiano Pecorelli - IT - Europe
Valentina Lenarduzzi - AR - SouthAmerica
Claes Wohlin - SE - Europe
Per Runeson - SE - Europe
Martin Höst - SE - Europe
Magnus C. Ohlsson - SE - Europe
Björn Regnell - SE - Europe
Anders Wesslén - SE - Europe</t>
  </si>
  <si>
    <t>Francesco Lomio - PH - Asia
Hung T. Nguyen - VN - Asia
Francesco Lomio - PH - Asia</t>
  </si>
  <si>
    <t>Eetu Kupiainen - FI - Europe
Mika Mäntylä - FI - Europe
Juha Itkonen - FI - Europe
Valentina Lenarduzzi - AR - SouthAmerica
Christian Stan - RO - Europe
Davide Taibi - DZ - Africa
Davide Tosi - IT - Europe
Gustavs Venters - US - NorthAmerica
Davide Taibi - DZ - Africa
Valentina Lenarduzzi - AR - SouthAmerica
Claus Pahl - DE - Europe
Davide Taibi - DZ - Africa
Valentina Lenarduzzi - AR - SouthAmerica
Jacopo Soldani - IT - Europe
Damian A. Tamburri - IT - Europe
Willem-Jan van den Heuvel - NL - Europe
Valentina Lenarduzzi - AR - SouthAmerica
Outi Sievi-Korte - FI - Europe
Davide Taibi - DZ - Africa
Valentina Lenarduzzi - AR - SouthAmerica
Claus Pahl - DE - Europe
Florian Auer - AT - Europe
Valentina Lenarduzzi - AR - SouthAmerica
Michael Felderer - AT - Europe
Davide Taibi - DZ - Africa
Valentina Lenarduzzi - AR - SouthAmerica
Nyyti Saarimäki - FI - Europe
Davide Taibi - DZ - Africa
Marc Sallin - CH - Europe
Martin Kropp - DE - Europe
Craig Anslow - GB - Europe
J. W. Quilty - IE - Europe
Andreas Meier - CH - Europe
Valentina Lenarduzzi - AR - SouthAmerica
Antonio Martini - IT - Europe
Nyyti Saarimäki - FI - Europe
Damian A. Tamburri - IT - Europe
Fabiano Pecorelli - IT - Europe
Valentina Lenarduzzi - AR - SouthAmerica
Claes Wohlin - SE - Europe
Per Runeson - SE - Europe
Martin Höst - SE - Europe
Magnus C. Ohlsson - SE - Europe
Björn Regnell - SE - Europe
Anders Wesslén - SE - Europe</t>
  </si>
  <si>
    <t>0 from 3</t>
  </si>
  <si>
    <t>Reference_List61_SANER2020_Sajeda_Parveen</t>
  </si>
  <si>
    <t>82.76% male authors, 24
17.24% female authors, 5
0.00% authors of unknown gender.</t>
  </si>
  <si>
    <t>Men: 25: 86.20%
Women: 4: 13.79%</t>
  </si>
  <si>
    <t xml:space="preserve">Yue Jia - W is M 
Yue Jia - W is M 
Jie M. Zhang - M is W 
</t>
  </si>
  <si>
    <t>James R. Cordy - M 
Micha Sharir - M 
Amir Pnueli - M 
Flemming Nielson - M 
Hanne Riis Nielson - W 
Chris Hankin - M 
A. Jefferson Offutt - M 
W. Michael Craft - M 
Yue Jia - M 
Mark Harman - M 
Mike Papadakis - M 
Marinos Kintis - M 
Jie M. Zhang - W 
Yue Jia - M 
Yves Le Traon - M 
Mark Harman - M 
Florian Schmeidl - M 
Bara’ Nazzal - M 
Manar H. Alalfi - W 
Felix Pauck - M 
Eric Bodden - M 
Heike Wehrheim - W 
Z. Berkay Celik - M 
Leonardo Babun - M 
Amit Kumar Sikder - M 
Hidayet Aksu - M 
Gang Tan - M 
Patrick McDaniel - M 
A. Selcuk Uluagac - M</t>
  </si>
  <si>
    <t>James R. Cordy	BE
Micha Sharir	IL
Amir Pnueli	IL
Flemming Nielson	US
Hanne Riis Nielson	US
Chris Hankin	GB
A. Jefferson Offutt	US
W. Michael Craft	US
Yue Jia	MY
Mark Harman	US
Mike Papadakis	GR
Marinos Kintis	GR
Jie M. Zhang	CN
Yue Jia	MY
Yves Le Traon	FR
Mark Harman	US
Florian Schmeidl	AT
Baraâ€™ Nazzal	PS
Manar H. Alalfi	JO
Felix Pauck	DK
Eric Bodden	HN
Heike Wehrheim	US
Z. Berkay Celik	TR
Leonardo Babun	HR
Amit Kumar Sikder	BD
Hidayet Aksu	TR
Gang Tan	LC
Patrick McDaniel	US
A. Selcuk Uluagac	TR</t>
  </si>
  <si>
    <t>James R. Cordy - BE - Europe
Micha Sharir - IL - Asia
Amir Pnueli - IL - Asia
Flemming Nielson - US - NorthAmerica
Hanne Riis Nielson - US - NorthAmerica
Chris Hankin - GB - Europe
A. Jefferson Offutt - US - NorthAmerica
W. Michael Craft - US - NorthAmerica
Yue Jia - MY - Asia
Mark Harman - US - NorthAmerica
Mike Papadakis - GR - Europe
Marinos Kintis - GR - Europe
Jie M. Zhang - CN - Asia
Yue Jia - MY - Asia
Yves Le Traon - FR - Europe
Mark Harman - US - NorthAmerica
Florian Schmeidl - AT - Europe
Bara’ Nazzal - PS - Asia
Manar H. Alalfi - JO - Asia
Felix Pauck - DK - Europe
Eric Bodden - HN - NorthAmerica
Heike Wehrheim - US - NorthAmerica
Z. Berkay Celik - TR - Asia
Leonardo Babun - HR - Europe
Amit Kumar Sikder - BD - Asia
Hidayet Aksu - TR - Asia
Gang Tan - LC - NorthAmerica
Patrick McDaniel - US - NorthAmerica
A. Selcuk Uluagac - TR - Asia</t>
  </si>
  <si>
    <t>Micha Sharir - IL - Asia
Amir Pnueli - IL - Asia
Yue Jia - MY - Asia
Jie M. Zhang - CN - Asia
Yue Jia - MY - Asia
Bara’ Nazzal - PS - Asia
Manar H. Alalfi - JO - Asia
Z. Berkay Celik - TR - Asia
Amit Kumar Sikder - BD - Asia
Hidayet Aksu - TR - Asia
A. Selcuk Uluagac - TR - Asia</t>
  </si>
  <si>
    <t>James R. Cordy - BE - Europe
Flemming Nielson - US - NorthAmerica
Hanne Riis Nielson - US - NorthAmerica
Chris Hankin - GB - Europe
A. Jefferson Offutt - US - NorthAmerica
W. Michael Craft - US - NorthAmerica
Mark Harman - US - NorthAmerica
Mike Papadakis - GR - Europe
Marinos Kintis - GR - Europe
Yves Le Traon - FR - Europe
Mark Harman - US - NorthAmerica
Florian Schmeidl - AT - Europe
Felix Pauck - DK - Europe
Eric Bodden - HN - NorthAmerica
Heike Wehrheim - US - NorthAmerica
Leonardo Babun - HR - Europe
Gang Tan - LC - NorthAmerica
Patrick McDaniel - US - NorthAmerica</t>
  </si>
  <si>
    <t xml:space="preserve">Yue Jia 
Yue Jia 
Jie M. Zhang </t>
  </si>
  <si>
    <t>Reference_List63_SANER2021_Ruben_Opdebeeck</t>
  </si>
  <si>
    <t>78.57% male authors, (11)
21.43% female authors, (3)
0.00% authors of unknown gender.</t>
  </si>
  <si>
    <t>Men: 12: 85.71%
Women: 2: 14.29%</t>
  </si>
  <si>
    <t>Rhys Braginton Pettee Olsen - W is M</t>
  </si>
  <si>
    <t>Tung Thanh Nguyen - M 
Hoan Anh Nguyen - M 
Nam H. Pham - M 
Jafar M. Al-Kofahi - M 
Tien N. Nguyen - M 
Sergio Mover - M 
Sriram Sankaranarayanan - M 
Rhys Braginton Pettee Olsen - M 
Bor-Yuh Evan Chang - M 
Amann Sven - M 
Hoan Anh Nguyen - M 
Sarah Nadi - W 
Tien N. Nguyen - M 
Mira Mezini - W</t>
  </si>
  <si>
    <t>Tung Thanh Nguyen	VN
Hoan Anh Nguyen	VN
Nam H. Pham	VN
Jafar M. Al-Kofahi	JO
Tien N. Nguyen	VN
Sergio Mover	SG
Sriram Sankaranarayanan	IN
Rhys Braginton Pettee Olsen	US
Bor-Yuh Evan Chang	TW
Amann Sven	AT
Hoan Anh Nguyen	VN
Sarah Nadi	MA
Tien N. Nguyen	VN
Mira Mezini	AL</t>
  </si>
  <si>
    <t>Tung Thanh Nguyen - VN - Asia
Hoan Anh Nguyen - VN - Asia
Nam H. Pham - VN - Asia
Jafar M. Al-Kofahi - JO - Asia
Tien N. Nguyen - VN - Asia
Sergio Mover - SG - Asia
Sriram Sankaranarayanan - IN - Asia
Rhys Braginton Pettee Olsen - US - NorthAmerica
Bor-Yuh Evan Chang - TW - Asia
Amann Sven - AT - Europe
Hoan Anh Nguyen - VN - Asia
Sarah Nadi - MA - Africa
Tien N. Nguyen - VN - Asia
Mira Mezini - AL - Europe</t>
  </si>
  <si>
    <t>Tung Thanh Nguyen - VN - Asia
Hoan Anh Nguyen - VN - Asia
Nam H. Pham - VN - Asia
Jafar M. Al-Kofahi - JO - Asia
Tien N. Nguyen - VN - Asia
Sergio Mover - SG - Asia
Sriram Sankaranarayanan - IN - Asia
Bor-Yuh Evan Chang - TW - Asia
Hoan Anh Nguyen - VN - Asia
Tien N. Nguyen - VN - Asia</t>
  </si>
  <si>
    <t>Rhys Braginton Pettee Olsen - US - NorthAmerica
Amann Sven - AT - Europe
Sarah Nadi - MA - Africa
Mira Mezini - AL - Europe</t>
  </si>
  <si>
    <t>Reference_List64_SANER2021_Hamid_Khodabandehloo</t>
  </si>
  <si>
    <t>71.43% male authors, 20
25.00% female authors, 7
3.57% authors of unknown gender. 1</t>
  </si>
  <si>
    <t>Men: 21: 75%
Women: 7: 25:</t>
  </si>
  <si>
    <t xml:space="preserve">N. Hedstrom - X is M 
D. Graham - M is W 
E. van Veenendaal - W is M 
D. Graham - M is W 
E. van Veenendaal - W is M 
</t>
  </si>
  <si>
    <t>Elliot J. Chikofsky - M 
James H. Cross - M 
John W. Pomeroy - M 
Donald M. Gray - M 
Thomas A. Brown - M 
N. Hedstrom - M 
W. L. Quinton - M 
R. J. Granger - M 
Sean K. Carey - M 
Stéphane Ducasse - M 
Tudor Gîrba - M 
Roel Wuyts - M 
Zahra Sahaf - W 
Vahid Garousi - M 
Dietmar Pfahl - M 
Rob Irving - M 
Yasaman Amannejad - W 
Bashair AlThani - W 
Souheil Khaddaj - M 
Achim Kaufmann - M 
D. Graham - W 
E. van Veenendaal - M 
Isabel Evans - W 
Rex Black - M 
D. Graham - W 
E. van Veenendaal - M 
Isabel Evans - W 
Rex Black - M</t>
  </si>
  <si>
    <t>Elliot J. Chikofsky	US
James H. Cross	US
John W. Pomeroy	US
Donald M. Gray	US
Thomas A. Brown	US
N. Hedstrom	US
W. L. Quinton	HU
R. J. Granger	US
Sean K. Carey	IE
StÃ©phane Ducasse	FR
Tudor GÃ®rba	RO
Roel Wuyts	BE
Zahra Sahaf	IR
Vahid Garousi	IR
Dietmar Pfahl	DE
Rob Irving	JM
Yasaman Amannejad	IR
Bashair AlThani	QA
Souheil Khaddaj	LB
Achim Kaufmann	CH
D. Graham	US
E. van Veenendaal	NL
Isabel Evans	US
Rex Black	US
D. Graham	US
E. van Veenendaal	NL
Isabel Evans	US
Rex Black	US</t>
  </si>
  <si>
    <t>Elliot J. Chikofsky - US - NorthAmerica
James H. Cross - US - NorthAmerica
John W. Pomeroy - US - NorthAmerica
Donald M. Gray - US - NorthAmerica
Thomas A. Brown - US - NorthAmerica
N. Hedstrom - US - NorthAmerica
W. L. Quinton - HU - Europe
R. J. Granger - US - NorthAmerica
Sean K. Carey - IE - Europe
Stéphane Ducasse - FR - Europe
Tudor Gîrba - RO - Europe
Roel Wuyts - BE - Europe
Zahra Sahaf - IR - Asia
Vahid Garousi - IR - Asia
Dietmar Pfahl - DE - Europe
Rob Irving - JM - NorthAmerica
Yasaman Amannejad - IR - Asia
Bashair AlThani - QA - Asia
Souheil Khaddaj - LB - Asia
Achim Kaufmann - CH - Europe
D. Graham - US - NorthAmerica
E. van Veenendaal - NL - Europe
Isabel Evans - US - NorthAmerica
Rex Black - US - NorthAmerica
D. Graham - US - NorthAmerica
E. van Veenendaal - NL - Europe
Isabel Evans - US - NorthAmerica
Rex Black - US - NorthAmerica</t>
  </si>
  <si>
    <t>Zahra Sahaf - IR - Asia
Vahid Garousi - IR - Asia
Yasaman Amannejad - IR - Asia
Bashair AlThani - QA - Asia
Souheil Khaddaj - LB - Asia</t>
  </si>
  <si>
    <t>Elliot J. Chikofsky - US - NorthAmerica
James H. Cross - US - NorthAmerica
John W. Pomeroy - US - NorthAmerica
Donald M. Gray - US - NorthAmerica
Thomas A. Brown - US - NorthAmerica
N. Hedstrom - US - NorthAmerica
W. L. Quinton - HU - Europe
R. J. Granger - US - NorthAmerica
Sean K. Carey - IE - Europe
Stéphane Ducasse - FR - Europe
Tudor Gîrba - RO - Europe
Roel Wuyts - BE - Europe
Dietmar Pfahl - DE - Europe
Rob Irving - JM - NorthAmerica
Achim Kaufmann - CH - Europe
D. Graham - US - NorthAmerica
E. van Veenendaal - NL - Europe
Isabel Evans - US - NorthAmerica
Rex Black - US - NorthAmerica
D. Graham - US - NorthAmerica
E. van Veenendaal - NL - Europe
Isabel Evans - US - NorthAmerica
Rex Black - US - NorthAmerica</t>
  </si>
  <si>
    <t>0 from 5</t>
  </si>
  <si>
    <t>Reference_List69_SANER2023_Lili_Bo</t>
  </si>
  <si>
    <t>86.49% male authors, 32
8.11% female authors, 3
5.41% authors of unknown gender. 2</t>
  </si>
  <si>
    <t>Men: 33: 89.19%
Women: 4: 10.81%</t>
  </si>
  <si>
    <t xml:space="preserve">Tegawendé F. Bissyandé - X is M
Tegawendé F. Bissyandé - X is M
Hanmei Yang - M is W 
</t>
  </si>
  <si>
    <t>Peng Liu - M 
Omer Tripp - M 
Charles Zhang - M 
Yan Cai - M 
Lingwei Cao - W 
Jeff Huang - M 
Thomas Durieux - M 
Benoit Cornu - M 
Lionel Seinturier - M 
Martin Monperrus - M 
Mehrdad Ghorbani - M 
Seyed Morteza Babamir - M 
Kui Liu - M 
Dongsun Kim - M 
Tegawendé F. Bissyandé - M 
Shin Yoo - M 
Yves Le Traon - M 
Anil Koyuncu - M 
Kui Liu - M 
Tegawendé F. Bissyandé - M 
Dongsun Kim - M 
Jacques Klein - M 
Martin Monperrus - M 
Yves Le Traon - M 
Zan Wang - M 
Haichi Wang - M 
Shuang Liu - W 
Jun Sun - M 
Haoyu Wang - M 
Junjie Chen - M 
Jules Jacobs - M 
Stephanie Balzer - W 
Robbert Krebbers - M 
Jinpeng Zhou - M 
Hanmei Yang - W 
John R. Lange - M 
Tongping Liu - M</t>
  </si>
  <si>
    <t>Peng Liu	CN
Omer Tripp	US
Charles Zhang	US
Yan Cai	CN
Lingwei Cao	CN
Jeff Huang	TW
Thomas Durieux	BE
Benoit Cornu	FR
Lionel Seinturier	FR
Martin Monperrus	FR
Mehrdad Ghorbani	IR
Seyed Morteza Babamir	IR
Kui Liu	CN
Dongsun Kim	KR
TegawendÃ© F. BissyandÃ©	LU
Shin Yoo	KR
Yves Le Traon	FR
Anil Koyuncu	TR
Kui Liu	CN
TegawendÃ© F. BissyandÃ©	LU
Dongsun Kim	KR
Jacques Klein	DE
Martin Monperrus	FR
Yves Le Traon	FR
Zan Wang	CN
Haichi Wang	CN
Shuang Liu	CN
Jun Sun	MY
Haoyu Wang	CN
Junjie Chen	TW
Jules Jacobs	ZA
Stephanie Balzer	DE
Robbert Krebbers	NL
Jinpeng Zhou	CN
Hanmei Yang	CN
John R. Lange	DE
Tongping Liu	CN</t>
  </si>
  <si>
    <t>Peng Liu - CN - Asia
Omer Tripp - US - NorthAmerica
Charles Zhang - US - NorthAmerica
Yan Cai - CN - Asia
Lingwei Cao - CN - Asia
Jeff Huang - TW - Asia
Thomas Durieux - BE - Europe
Benoit Cornu - FR - Europe
Lionel Seinturier - FR - Europe
Martin Monperrus - FR - Europe
Mehrdad Ghorbani - IR - Asia
Seyed Morteza Babamir - IR - Asia
Kui Liu - CN - Asia
Dongsun Kim - KR - Asia
Tegawendé F. Bissyandé - LU - Europe
Shin Yoo - KR - Asia
Yves Le Traon - FR - Europe
Anil Koyuncu - TR - Asia
Kui Liu - CN - Asia
Tegawendé F. Bissyandé - LU - Europe
Dongsun Kim - KR - Asia
Jacques Klein - DE - Europe
Martin Monperrus - FR - Europe
Yves Le Traon - FR - Europe
Zan Wang - CN - Asia
Haichi Wang - CN - Asia
Shuang Liu - CN - Asia
Jun Sun - MY - Asia
Haoyu Wang - CN - Asia
Junjie Chen - TW - Asia
Jules Jacobs - ZA - Africa
Stephanie Balzer - DE - Europe
Robbert Krebbers - NL - Europe
Jinpeng Zhou - CN - Asia
Hanmei Yang - CN - Asia
John R. Lange - DE - Europe
Tongping Liu - CN - Asia</t>
  </si>
  <si>
    <t>Peng Liu - CN - Asia
Yan Cai - CN - Asia
Lingwei Cao - CN - Asia
Jeff Huang - TW - Asia
Mehrdad Ghorbani - IR - Asia
Seyed Morteza Babamir - IR - Asia
Kui Liu - CN - Asia
Dongsun Kim - KR - Asia
Shin Yoo - KR - Asia
Anil Koyuncu - TR - Asia
Kui Liu - CN - Asia
Dongsun Kim - KR - Asia
Zan Wang - CN - Asia
Haichi Wang - CN - Asia
Shuang Liu - CN - Asia
Jun Sun - MY - Asia
Haoyu Wang - CN - Asia
Junjie Chen - TW - Asia
Jinpeng Zhou - CN - Asia
Hanmei Yang - CN - Asia
Tongping Liu - CN - Asia</t>
  </si>
  <si>
    <t>Omer Tripp - US - NorthAmerica
Charles Zhang - US - NorthAmerica
Thomas Durieux - BE - Europe
Benoit Cornu - FR - Europe
Lionel Seinturier - FR - Europe
Martin Monperrus - FR - Europe
Tegawendé F. Bissyandé - LU - Europe
Yves Le Traon - FR - Europe
Tegawendé F. Bissyandé - LU - Europe
Jacques Klein - DE - Europe
Martin Monperrus - FR - Europe
Yves Le Traon - FR - Europe
Jules Jacobs - ZA - Africa
Stephanie Balzer - DE - Europe
Robbert Krebbers - NL - Europe
John R. Lange - DE - Europe</t>
  </si>
  <si>
    <t xml:space="preserve">Hanmei Yang </t>
  </si>
  <si>
    <t>1 from 3</t>
  </si>
  <si>
    <t>Reference_List71_SANER2021_Stefan_Mohacsi</t>
  </si>
  <si>
    <t>94.12% male authors, 16
5.88% female authors, 1
0.00% authors of unknown gender.</t>
  </si>
  <si>
    <t>Men: 15: 88.23%
Women: 2: 11.76%</t>
  </si>
  <si>
    <t>D. Graham - M is W</t>
  </si>
  <si>
    <t xml:space="preserve">Armin Beer - M
Stefan Mohacsi - M
Zheng Li - M
Mark Harman - M
Robert M. Hierons - M
Mark Utting - M
Bruno Legeard - M
Marco D’Ambros - M
Michele Lanza - M
Romain Robbes - M
Michael Felderer - M
P Zech - M
Ruth Breu - W
Matthias Büchler - M
Alexander Pretschner - M
D. Graham - W
Mark Fewster - M
</t>
  </si>
  <si>
    <t>Armin Beer	AT
Stefan Mohacsi	HU
Zheng Li	PA
Mark Harman	US
Robert M. Hierons	GB
Mark Utting	NZ
Bruno Legeard	FR
Marco Dâ€™Ambros	BR
Michele Lanza	HN
Romain Robbes	FR
Michael Felderer	AT
P Zech	DE
Ruth Breu	CH
Matthias BÃ¼chler	CH
Alexander Pretschner	DE
D. Graham	US
Mark Fewster	AU</t>
  </si>
  <si>
    <t>Armin Beer - AT - Europe
Stefan Mohacsi - HU - Europe
Zheng Li - PA - NorthAmerica
Mark Harman - US - NorthAmerica
Robert M. Hierons - GB - Europe
Mark Utting - NZ - Oceania
Bruno Legeard - FR - Europe
Marco D’Ambros - BR - SouthAmerica
Michele Lanza - HN - NorthAmerica
Romain Robbes - FR - Europe
Michael Felderer - AT - Europe
P Zech - DE - Europe
Ruth Breu - CH - Europe
Matthias Büchler - CH - Europe
Alexander Pretschner - DE - Europe
D. Graham - US - NorthAmerica
Mark Fewster - AU - Oceania</t>
  </si>
  <si>
    <t>Reference_List71_SANER2023_Rupashree_Rangaiyengar</t>
  </si>
  <si>
    <t>75.00% male authors, (30)
22.50% female authors, (9)
2.50% authors of unknown gender. (1)</t>
  </si>
  <si>
    <t>Men: 29: 72.5%
Women: 11: 27.5%</t>
  </si>
  <si>
    <t xml:space="preserve">Guixia Liu - M but is W
D. Vidović - X is W 
</t>
  </si>
  <si>
    <t>Wilhelm Hasselbring - M 
Rodolfo Picoreti - M 
Alexandre P. do Carmo - M 
Felippe Mendonça De Queiroz - M 
Anilton Salles Garcia - M 
Raquel Frizera Vassallo - W 
Dimitra Simeonidou - W 
Jonathan Mace - M 
Ryan Roelke - M 
Rodrigo Fonseca - M 
Ðắc-Trung Nguyễn - M 
Stephen L. Mathias - M 
Cristian Bologa - M 
Søren Brunak - M 
Nicolas Fernandez - M 
Anna Gaulton - W 
Anne Hersey - W 
Jayme Holmes - W 
Lars Juhl Jensen - M 
Anneli Karlsson - W 
Guixia Liu - W 
Avi Ma’ayan - M 
Geetha Mandava - W 
Subramani Mani - M 
Saurabh Mehta - M 
John P. Overington - M 
Juhee Patel - W 
Andrew D. Rouillard - M 
Stephan C. Schürer - M 
Timothy Sheils - M 
Anton Simeonov - M 
Larry A. Sklar - M 
Noel Southall - M 
Oleg Ursu - M 
D. Vidović - W 
Anna Waller - W 
Jeremy J. Yang - M 
Ajit Jadhav - M 
Tudor I. Oprea - M 
Rajarshi Guha - M</t>
  </si>
  <si>
    <t>Wilhelm Hasselbring	US
Rodolfo Picoreti	BR
Alexandre P. do Carmo	PT
Felippe MendonÃ§a De Queiroz	BR
Anilton Salles Garcia	BR
Raquel Frizera Vassallo	MT
Dimitra Simeonidou	GR
Jonathan Mace	US
Ryan Roelke	US
Rodrigo Fonseca	MU
Ãáº¯c-Trung Nguyá»…n	unknown
Stephen L. Mathias	TZ
Cristian Bologa	RO
SÃ¸ren Brunak	DK
Nicolas Fernandez	ES
Anna Gaulton	CA
Anne Hersey	US
Jayme Holmes	US
Lars Juhl Jensen	DK
Anneli Karlsson	SE
Guixia Liu	CN
Avi Maâ€™ayan	IL
Geetha Mandava	IN
Subramani Mani	SG
Saurabh Mehta	IN
John P. Overington	NZ
Juhee Patel	IN
Andrew D. Rouillard	FR
Stephan C. SchÃ¼rer	DE
Timothy Sheils	IE
Anton Simeonov	BG
Larry A. Sklar	US
Noel Southall	GB
Oleg Ursu	RO
D. VidoviÄ‡	HR
Anna Waller	US
Jeremy J. Yang	CN
Ajit Jadhav	IN
Tudor I. Oprea	RO
Rajarshi Guha	IN</t>
  </si>
  <si>
    <t>Wilhelm Hasselbring - US - NorthAmerica
Rodolfo Picoreti - BR - SouthAmerica
Alexandre P. do Carmo - PT - Europe
Felippe Mendonça De Queiroz - BR - SouthAmerica
Anilton Salles Garcia - BR - SouthAmerica
Raquel Frizera Vassallo - MT - Europe
Dimitra Simeonidou - GR - Europe
Jonathan Mace - US - NorthAmerica
Ryan Roelke - US - NorthAmerica
Rodrigo Fonseca - MU - Africa
Đắc-Trung Nguyễn - unknown - Unknown
Stephen L. Mathias - TZ - Africa
Cristian Bologa - RO - Europe
Søren Brunak - DK - Europe
Nicolas Fernandez - ES - Europe
Anna Gaulton - CA - NorthAmerica
Anne Hersey - US - NorthAmerica
Jayme Holmes - US - NorthAmerica
Lars Juhl Jensen - DK - Europe
Anneli Karlsson - SE - Europe
Guixia Liu - CN - Asia
Avi Ma’ayan - IL - Asia
Geetha Mandava - IN - Asia
Subramani Mani - SG - Asia
Saurabh Mehta - IN - Asia
John P. Overington - NZ - Oceania
Juhee Patel - IN - Asia
Andrew D. Rouillard - FR - Europe
Stephan C. Schürer - DE - Europe
Timothy Sheils - IE - Europe
Anton Simeonov - BG - Europe
Larry A. Sklar - US - NorthAmerica
Noel Southall - GB - Europe
Oleg Ursu - RO - Europe
D. Vidović - HR - Europe
Anna Waller - US - NorthAmerica
Jeremy J. Yang - CN - Asia
Ajit Jadhav - IN - Asia
Tudor I. Oprea - RO - Europe
Rajarshi Guha - IN - Asia</t>
  </si>
  <si>
    <t>Guixia Liu - CN - Asia
Avi Ma’ayan - IL - Asia
Geetha Mandava - IN - Asia
Subramani Mani - SG - Asia
Saurabh Mehta - IN - Asia
Juhee Patel - IN - Asia
Jeremy J. Yang - CN - Asia
Ajit Jadhav - IN - Asia
Rajarshi Guha - IN - Asia</t>
  </si>
  <si>
    <t>Wilhelm Hasselbring - US - NorthAmerica
Rodolfo Picoreti - BR - SouthAmerica
Alexandre P. do Carmo - PT - Europe
Felippe Mendonça De Queiroz - BR - SouthAmerica
Anilton Salles Garcia - BR - SouthAmerica
Raquel Frizera Vassallo - MT - Europe
Dimitra Simeonidou - GR - Europe
Jonathan Mace - US - NorthAmerica
Ryan Roelke - US - NorthAmerica
Rodrigo Fonseca - MU - Africa
Đắc-Trung Nguyễn - unknown - Unknown
Stephen L. Mathias - TZ - Africa
Cristian Bologa - RO - Europe
Søren Brunak - DK - Europe
Nicolas Fernandez - ES - Europe
Anna Gaulton - CA - NorthAmerica
Anne Hersey - US - NorthAmerica
Jayme Holmes - US - NorthAmerica
Lars Juhl Jensen - DK - Europe
Anneli Karlsson - SE - Europe
John P. Overington - NZ - Oceania
Andrew D. Rouillard - FR - Europe
Stephan C. Schürer - DE - Europe
Timothy Sheils - IE - Europe
Anton Simeonov - BG - Europe
Larry A. Sklar - US - NorthAmerica
Noel Southall - GB - Europe
Oleg Ursu - RO - Europe
D. Vidović - HR - Europe
Anna Waller - US - NorthAmerica
Tudor I. Oprea - RO - Europe</t>
  </si>
  <si>
    <t xml:space="preserve">Guixia Liu </t>
  </si>
  <si>
    <t>Reference_List74_SANER2020_Jie_Wu</t>
  </si>
  <si>
    <t>94.44% male authors, 
5.56% female authors, 
0.00% authors of unknown gender</t>
  </si>
  <si>
    <t xml:space="preserve">94.44% male authors, (17)
5.56% female authors, (1)
</t>
  </si>
  <si>
    <t>Kin-Keung Ma - M 
Khoo Yit Phang - M 
Jeffrey S. Foster - M 
Michael Hicks - M 
Peter Boonstoppel - M 
Cristian Cadar - M 
Dawson Engler - M 
Cristian Cadar - M 
Daniel Dunbar - M 
Dawson Engler - M 
James C. King - M 
Cristian Cadar - M 
Koushik Sen - M 
Leslie Pack Kaelbling - W 
Michael L. Littman - M 
Andrew Moore - M 
Christopher J. Watkins - M 
Peter Dayan - M</t>
  </si>
  <si>
    <t>Kin-Keung Ma	CN
Khoo Yit Phang	LC
Jeffrey S. Foster	US
Michael Hicks	US
Peter Boonstoppel	NL
Cristian Cadar	RO
Dawson Engler	CH
Cristian Cadar	RO
Daniel Dunbar	US
Dawson Engler	CH
James C. King	US
Cristian Cadar	RO
Koushik Sen	IN
Leslie Pack Kaelbling	CH
Michael L. Littman	US
Andrew Moore	GB
Christopher J. Watkins	US
Peter Dayan	IL</t>
  </si>
  <si>
    <t>Kin-Keung Ma - CN - Asia
Khoo Yit Phang - LC - NorthAmerica
Jeffrey S. Foster - US - NorthAmerica
Michael Hicks - US - NorthAmerica
Peter Boonstoppel - NL - Europe
Cristian Cadar - RO - Europe
Dawson Engler - CH - Europe
Cristian Cadar - RO - Europe
Daniel Dunbar - US - NorthAmerica
Dawson Engler - CH - Europe
James C. King - US - NorthAmerica
Cristian Cadar - RO - Europe
Koushik Sen - IN - Asia
Leslie Pack Kaelbling - CH - Europe
Michael L. Littman - US - NorthAmerica
Andrew Moore - GB - Europe
Christopher J. Watkins - US - NorthAmerica
Peter Dayan - IL - Asia</t>
  </si>
  <si>
    <t>Kin-Keung Ma - CN - Asia
Koushik Sen - IN - Asia
Peter Dayan - IL - Asia</t>
  </si>
  <si>
    <t>Khoo Yit Phang - LC - NorthAmerica
Jeffrey S. Foster - US - NorthAmerica
Michael Hicks - US - NorthAmerica
Peter Boonstoppel - NL - Europe
Cristian Cadar - RO - Europe
Dawson Engler - CH - Europe
Cristian Cadar - RO - Europe
Daniel Dunbar - US - NorthAmerica
Dawson Engler - CH - Europe
James C. King - US - NorthAmerica
Cristian Cadar - RO - Europe
Leslie Pack Kaelbling - CH - Europe
Michael L. Littman - US - NorthAmerica
Andrew Moore - GB - Europe
Christopher J. Watkins - US - NorthAmerica</t>
  </si>
  <si>
    <t>Reference_List75_SANER2020_Rudolf_Ramler</t>
  </si>
  <si>
    <t>70.83% male authors, (17)
29.17% female authors, (7)
0.00% authors of unknown gender.</t>
  </si>
  <si>
    <t>Men: 19: 79.17%
Women: 5: 20.83%</t>
  </si>
  <si>
    <t xml:space="preserve">Jue Wang - W is M 
Andrea Mocci - W is M 
</t>
  </si>
  <si>
    <t>Suporn Pongnumkul - W 
Mira Dontcheva - W 
Wilmot Li - M 
Jue Wang - M 
Lubomir Bourdev - M 
Shai Avidan - M 
Michael F. Cohen - M 
Tom Yeh - M 
Tsung-Hsiang Chang - M 
Robert C. Miller - M 
John Tang - M 
Sophia B. Liu - W 
Michael Müller - M 
James Lin - AM 
Clemens Drews - M 
Luca Ponzanelli - M 
Gabriele Bavota - M 
Andrea Mocci - M 
Massimiliano Di Penta - M 
Rocco Oliveto - M 
Mir Hasan - M 
Barbara Russo - W 
Sonia Haiduc - W 
Michele Lanza - M</t>
  </si>
  <si>
    <t>Suporn Pongnumkul	unknown
Mira Dontcheva	GB
Wilmot Li	JM
Jue Wang	CN
Lubomir Bourdev	US
Shai Avidan	IL
Michael F. Cohen	IL
Tom Yeh	TW
Tsung-Hsiang Chang	TW
Robert C. Miller	US
John Tang	MY
Sophia B. Liu	CN
Michael MÃ¼ller	DE
James Lin	US
Clemens Drews	DE
Luca Ponzanelli	IT
Gabriele Bavota	IT
Andrea Mocci	IT
Massimiliano Di Penta	IT
Rocco Oliveto	AR
Mir Hasan	BH
Barbara Russo	IT
Sonia Haiduc	RO
Michele Lanza	HN</t>
  </si>
  <si>
    <t>Suporn Pongnumkul - unknown - Unknown
Mira Dontcheva - GB - Europe
Wilmot Li - JM - NorthAmerica
Jue Wang - CN - Asia
Lubomir Bourdev - US - NorthAmerica
Shai Avidan - IL - Asia
Michael F. Cohen - IL - Asia
Tom Yeh - TW - Asia
Tsung-Hsiang Chang - TW - Asia
Robert C. Miller - US - NorthAmerica
John Tang - MY - Asia
Sophia B. Liu - CN - Asia
Michael Müller - DE - Europe
James Lin - US - NorthAmerica
Clemens Drews - DE - Europe
Luca Ponzanelli - IT - Europe
Gabriele Bavota - IT - Europe
Andrea Mocci - IT - Europe
Massimiliano Di Penta - IT - Europe
Rocco Oliveto - AR - SouthAmerica
Mir Hasan - BH - Asia
Barbara Russo - IT - Europe
Sonia Haiduc - RO - Europe
Michele Lanza - HN - NorthAmerica</t>
  </si>
  <si>
    <t>Jue Wang - CN - Asia
Shai Avidan - IL - Asia
Michael F. Cohen - IL - Asia
Tom Yeh - TW - Asia
Tsung-Hsiang Chang - TW - Asia
John Tang - MY - Asia
Sophia B. Liu - CN - Asia
Mir Hasan - BH - Asia</t>
  </si>
  <si>
    <t>Suporn Pongnumkul - unknown - Unknown
Mira Dontcheva - GB - Europe
Wilmot Li - JM - NorthAmerica
Lubomir Bourdev - US - NorthAmerica
Robert C. Miller - US - NorthAmerica
Michael Müller - DE - Europe
James Lin - US - NorthAmerica
Clemens Drews - DE - Europe
Luca Ponzanelli - IT - Europe
Gabriele Bavota - IT - Europe
Andrea Mocci - IT - Europe
Massimiliano Di Penta - IT - Europe
Rocco Oliveto - AR - SouthAmerica
Barbara Russo - IT - Europe
Sonia Haiduc - RO - Europe
Michele Lanza - HN - NorthAmerica</t>
  </si>
  <si>
    <t>Jue Wang</t>
  </si>
  <si>
    <t>Reference_List77_SANER2020_Cynthia_Dookie</t>
  </si>
  <si>
    <t>60.00% male authors, 
40.00% female authors, 
0.00% authors of unknown gender.</t>
  </si>
  <si>
    <t>60.00% male authors, (6)
40.00% female authors (4)</t>
  </si>
  <si>
    <t>Ananda Prasanna Jagadeesan - M 
K. Duraiswamy - M 
Susan C. Pearce - W 
Ran Halprin - M 
Moni Naor - W 
Jing Chen - W 
Sergey Gorbunov - M 
Silvio Micali - M 
Georgios Vlachos - M 
Susan C. Pearce - W</t>
  </si>
  <si>
    <t>Ananda Prasanna Jagadeesan	IN
K. Duraiswamy	IN
Susan C. Pearce	AU
Ran Halprin	US
Moni Naor	IL
Jing Chen	MY
Sergey Gorbunov	RU
Silvio Micali	IT
Georgios Vlachos	GR
Susan C. Pearce	AU</t>
  </si>
  <si>
    <t>Ananda Prasanna Jagadeesan - IN - Asia
K. Duraiswamy - IN - Asia
Susan C. Pearce - AU - Oceania
Ran Halprin - US - NorthAmerica
Moni Naor - IL - Asia
Jing Chen - MY - Asia
Sergey Gorbunov - RU - Europe
Silvio Micali - IT - Europe
Georgios Vlachos - GR - Europe
Susan C. Pearce - AU - Oceania</t>
  </si>
  <si>
    <t>Ananda Prasanna Jagadeesan - IN - Asia
K. Duraiswamy - IN - Asia
Moni Naor - IL - Asia
Jing Chen - MY - Asia</t>
  </si>
  <si>
    <t>Susan C. Pearce - AU - Oceania
Ran Halprin - US - NorthAmerica
Sergey Gorbunov - RU - Europe
Silvio Micali - IT - Europe
Georgios Vlachos - GR - Europe
Susan C. Pearce - AU - Oceania</t>
  </si>
  <si>
    <t>Reference_List78_SANER2021_Sooyeon_Lee</t>
  </si>
  <si>
    <t>89.66% male authors, 
10.34% female authors, 
0.00% authors of unknown gender.</t>
  </si>
  <si>
    <t xml:space="preserve">Seep Goel - M is W
Eun-Sun Cho - M is W 
</t>
  </si>
  <si>
    <t>Loi Luu - M 
Duc-Hiep Chu - M 
Hrishi Olickel - M 
Prateek Saxena - M 
Aquinas Hobor - M 
Nicola Atzei - M 
Massimo Bartoletti - M 
Tiziana Cimoli - W 
Jae-hwi Lee - M 
Jaehyeok Han - M 
Minwook Lee - M 
Jae-mun Choi - M 
Hyunwoo Baek - M 
Sangjin Lee - M 
Sukrit Kalra - M 
Seep Goel - W 
Mohan Dhawan - M 
Subodh Sharma - M 
Petar Tsankov - M 
Andrei Dan - M 
Dana Drachsler-Cohen - W 
Arthur Gervais - M 
Florian Bünzli - M 
Martin Vechev - M 
Sooyeon Lee - W 
Eun-Sun Cho - W 
Josselin Feist - M 
Gustavo Grieco - M 
Alex Groce - M</t>
  </si>
  <si>
    <t>Loi Luu	VN
Duc-Hiep Chu	HK
Hrishi Olickel	BH
Prateek Saxena	IN
Aquinas Hobor	HU
Nicola Atzei	IT
Massimo Bartoletti	IT
Tiziana Cimoli	IT
Jae-hwi Lee	unknown
Jaehyeok Han	KR
Minwook Lee	KR
Jae-mun Choi	unknown
Hyunwoo Baek	KR
Sangjin Lee	KR
Sukrit Kalra	IN
Seep Goel	IN
Mohan Dhawan	IN
Subodh Sharma	IN
Petar Tsankov	BG
Andrei Dan	GB
Dana Drachsler-Cohen	unknown
Arthur Gervais	CA
Florian BÃ¼nzli	CH
Martin Vechev	BG
Sooyeon Lee	KR
Eun-Sun Cho	KR
Josselin Feist	US
Gustavo Grieco	US
Alex Groce	US</t>
  </si>
  <si>
    <t>Loi Luu - VN - Asia
Duc-Hiep Chu - HK - Asia
Hrishi Olickel - BH - Asia
Prateek Saxena - IN - Asia
Aquinas Hobor - HU - Europe
Nicola Atzei - IT - Europe
Massimo Bartoletti - IT - Europe
Tiziana Cimoli - IT - Europe
Jae-hwi Lee - unknown - Unknown
Jaehyeok Han - KR - Asia
Minwook Lee - KR - Asia
Jae-mun Choi - unknown - Unknown
Hyunwoo Baek - KR - Asia
Sangjin Lee - KR - Asia
Sukrit Kalra - IN - Asia
Seep Goel - IN - Asia
Mohan Dhawan - IN - Asia
Subodh Sharma - IN - Asia
Petar Tsankov - BG - Europe
Andrei Dan - GB - Europe
Dana Drachsler-Cohen - unknown - Unknown
Arthur Gervais - CA - NorthAmerica
Florian Bünzli - CH - Europe
Martin Vechev - BG - Europe
Sooyeon Lee - KR - Asia
Eun-Sun Cho - KR - Asia
Josselin Feist - US - NorthAmerica
Gustavo Grieco - US - NorthAmerica
Alex Groce - US - NorthAmerica</t>
  </si>
  <si>
    <t>Loi Luu - VN - Asia
Duc-Hiep Chu - HK - Asia
Hrishi Olickel - BH - Asia
Prateek Saxena - IN - Asia
Jaehyeok Han - KR - Asia
Minwook Lee - KR - Asia
Hyunwoo Baek - KR - Asia
Sangjin Lee - KR - Asia
Sukrit Kalra - IN - Asia
Seep Goel - IN - Asia
Mohan Dhawan - IN - Asia
Subodh Sharma - IN - Asia
Sooyeon Lee - KR - Asia
Eun-Sun Cho - KR - Asia</t>
  </si>
  <si>
    <t>Aquinas Hobor - HU - Europe
Nicola Atzei - IT - Europe
Massimo Bartoletti - IT - Europe
Tiziana Cimoli - IT - Europe
Jae-hwi Lee - unknown - Unknown
Jae-mun Choi - unknown - Unknown
Petar Tsankov - BG - Europe
Andrei Dan - GB - Europe
Dana Drachsler-Cohen - unknown - Unknown
Arthur Gervais - CA - NorthAmerica
Florian Bünzli - CH - Europe
Martin Vechev - BG - Europe
Josselin Feist - US - NorthAmerica
Gustavo Grieco - US - NorthAmerica
Alex Groce - US - NorthAmerica</t>
  </si>
  <si>
    <t xml:space="preserve">Seep Goel 
Eun-Sun Cho </t>
  </si>
  <si>
    <t>Reference_List8_SANER2022_Akond_Rahman</t>
  </si>
  <si>
    <t>88.14% male authors, (52)
11.86% female authors, (7)
0.00% authors of unknown gender.</t>
  </si>
  <si>
    <t>Men: 49: 83.05%
Women: 10: 16.95%</t>
  </si>
  <si>
    <t xml:space="preserve">Shiva Nejati - M is W 
Shiva Nejati - M is W 
Rian Shambaugh - M is W 
</t>
  </si>
  <si>
    <t>Tushar Sharma - M 
Marios Fragkoulis - M 
Diomidis Spinellis - M 
Aaron Weiss - M 
Arjun Guha - M 
Yuriy Brun - M 
Lionel Briand - M 
Domenico Bianculli - M 
Shiva Nejati - W 
Fabrizio Pastore - M 
Mehrdad Sabetzadeh - M 
Tushar Sharma - M 
Diomidis Spinellis - M 
Eduard van der Bent - M 
Jurriaan Hage - M 
Joost Visser - M 
Georgios Gousios - M 
Akond Rahman - M 
Laurie Williams - W 
Victor R. Basili - M 
Lionel Briand - M 
Domenico Bianculli - M 
Shiva Nejati - W 
Fabrizio Pastore - M 
Mehrdad Sabetzadeh - M 
Rian Shambaugh - W 
Aaron Weiss - M 
Arjun Guha - M 
Akond Rahman - M 
Chris Parnin - M 
Laurie Williams - W 
Akond Rahman - M 
Laurie Williams - W 
Michele Guerriero - M 
Martín Garriga - M 
Damian A. Tamburri - M 
Fabio Palomba - M 
Eric Horton - M 
Chris Parnin - M 
Oliver Hanappi - M 
Waldemar Hummer - M 
Schahram Dustdar - M 
Thodoris Sotiropoulos - M 
Dimitris Mitropoulos - M 
Diomidis Spinellis - M 
Akond Rahman - M 
Effat Farhana - W 
Chris Parnin - M 
Laurie Williams - W 
Akond Rahman - M 
Effat Farhana - W 
Laurie Williams - W 
Indika Kumara - M 
Martín Garriga - M 
Angel Urbano Romeu - M 
Dario Di Nucci - M 
Fabio Palomba - M 
Damian A. Tamburri - M 
Willem‐Jan van den Heuvel - M</t>
  </si>
  <si>
    <t>Tushar Sharma	IN
Marios Fragkoulis	GR
Diomidis Spinellis	GR
Aaron Weiss	US
Arjun Guha	IN
Yuriy Brun	UY
Lionel Briand	FR
Domenico Bianculli	AR
Shiva Nejati	IR
Fabrizio Pastore	IT
Mehrdad Sabetzadeh	NO
Tushar Sharma	IN
Diomidis Spinellis	GR
Eduard van der Bent	NL
Jurriaan Hage	LB
Joost Visser	NL
Georgios Gousios	GR
Akond Rahman	BD
Laurie Williams	US
Victor R. Basili	IT
Lionel Briand	FR
Domenico Bianculli	AR
Shiva Nejati	IR
Fabrizio Pastore	IT
Mehrdad Sabetzadeh	NO
Rian Shambaugh	US
Aaron Weiss	US
Arjun Guha	IN
Akond Rahman	BD
Chris Parnin	US
Laurie Williams	US
Akond Rahman	BD
Laurie Williams	US
Michele Guerriero	IT
MartÃ­n Garriga	ES
Damian A. Tamburri	IT
Fabio Palomba	IT
Eric Horton	US
Chris Parnin	US
Oliver Hanappi	AT
Waldemar Hummer	AT
Schahram Dustdar	IR
Thodoris Sotiropoulos	GR
Dimitris Mitropoulos	GR
Diomidis Spinellis	GR
Akond Rahman	BD
Effat Farhana	EG
Chris Parnin	US
Laurie Williams	US
Akond Rahman	BD
Effat Farhana	EG
Laurie Williams	US
Indika Kumara	QA
MartÃ­n Garriga	ES
Angel Urbano Romeu	VE
Dario Di Nucci	IT
Fabio Palomba	IT
Damian A. Tamburri	IT
Willemâ€Jan van den Heuvel	NL</t>
  </si>
  <si>
    <t>Tushar Sharma - IN - Asia
Marios Fragkoulis - GR - Europe
Diomidis Spinellis - GR - Europe
Aaron Weiss - US - NorthAmerica
Arjun Guha - IN - Asia
Yuriy Brun - UY - SouthAmerica
Lionel Briand - FR - Europe
Domenico Bianculli - AR - SouthAmerica
Shiva Nejati - IR - Asia
Fabrizio Pastore - IT - Europe
Mehrdad Sabetzadeh - NO - Europe
Tushar Sharma - IN - Asia
Diomidis Spinellis - GR - Europe
Eduard van der Bent - NL - Europe
Jurriaan Hage - LB - Asia
Joost Visser - NL - Europe
Georgios Gousios - GR - Europe
Akond Rahman - BD - Asia
Laurie Williams - US - NorthAmerica
Victor R. Basili - IT - Europe
Lionel Briand - FR - Europe
Domenico Bianculli - AR - SouthAmerica
Shiva Nejati - IR - Asia
Fabrizio Pastore - IT - Europe
Mehrdad Sabetzadeh - NO - Europe
Rian Shambaugh - US - NorthAmerica
Aaron Weiss - US - NorthAmerica
Arjun Guha - IN - Asia
Akond Rahman - BD - Asia
Chris Parnin - US - NorthAmerica
Laurie Williams - US - NorthAmerica
Akond Rahman - BD - Asia
Laurie Williams - US - NorthAmerica
Michele Guerriero - IT - Europe
Martín Garriga - ES - Europe
Damian A. Tamburri - IT - Europe
Fabio Palomba - IT - Europe
Eric Horton - US - NorthAmerica
Chris Parnin - US - NorthAmerica
Oliver Hanappi - AT - Europe
Waldemar Hummer - AT - Europe
Schahram Dustdar - IR - Asia
Thodoris Sotiropoulos - GR - Europe
Dimitris Mitropoulos - GR - Europe
Diomidis Spinellis - GR - Europe
Akond Rahman - BD - Asia
Effat Farhana - EG - Africa
Chris Parnin - US - NorthAmerica
Laurie Williams - US - NorthAmerica
Akond Rahman - BD - Asia
Effat Farhana - EG - Africa
Laurie Williams - US - NorthAmerica
Indika Kumara - QA - Asia
Martín Garriga - ES - Europe
Angel Urbano Romeu - VE - SouthAmerica
Dario Di Nucci - IT - Europe
Fabio Palomba - IT - Europe
Damian A. Tamburri - IT - Europe
Willem-Jan van den Heuvel - NL - Europe</t>
  </si>
  <si>
    <t>Tushar Sharma - IN - Asia
Arjun Guha - IN - Asia
Shiva Nejati - IR - Asia
Tushar Sharma - IN - Asia
Jurriaan Hage - LB - Asia
Akond Rahman - BD - Asia
Shiva Nejati - IR - Asia
Arjun Guha - IN - Asia
Akond Rahman - BD - Asia
Akond Rahman - BD - Asia
Schahram Dustdar - IR - Asia
Akond Rahman - BD - Asia
Akond Rahman - BD - Asia
Indika Kumara - QA - Asia</t>
  </si>
  <si>
    <t>Marios Fragkoulis - GR - Europe
Diomidis Spinellis - GR - Europe
Aaron Weiss - US - NorthAmerica
Yuriy Brun - UY - SouthAmerica
Lionel Briand - FR - Europe
Domenico Bianculli - AR - SouthAmerica
Fabrizio Pastore - IT - Europe
Mehrdad Sabetzadeh - NO - Europe
Diomidis Spinellis - GR - Europe
Eduard van der Bent - NL - Europe
Joost Visser - NL - Europe
Georgios Gousios - GR - Europe
Laurie Williams - US - NorthAmerica
Victor R. Basili - IT - Europe
Lionel Briand - FR - Europe
Domenico Bianculli - AR - SouthAmerica
Fabrizio Pastore - IT - Europe
Mehrdad Sabetzadeh - NO - Europe
Rian Shambaugh - US - NorthAmerica
Aaron Weiss - US - NorthAmerica
Chris Parnin - US - NorthAmerica
Laurie Williams - US - NorthAmerica
Laurie Williams - US - NorthAmerica
Michele Guerriero - IT - Europe
Martín Garriga - ES - Europe
Damian A. Tamburri - IT - Europe
Fabio Palomba - IT - Europe
Eric Horton - US - NorthAmerica
Chris Parnin - US - NorthAmerica
Oliver Hanappi - AT - Europe
Waldemar Hummer - AT - Europe
Thodoris Sotiropoulos - GR - Europe
Dimitris Mitropoulos - GR - Europe
Diomidis Spinellis - GR - Europe
Effat Farhana - EG - Africa
Chris Parnin - US - NorthAmerica
Laurie Williams - US - NorthAmerica
Effat Farhana - EG - Africa
Laurie Williams - US - NorthAmerica
Martín Garriga - ES - Europe
Angel Urbano Romeu - VE - SouthAmerica
Dario Di Nucci - IT - Europe
Fabio Palomba - IT - Europe
Damian A. Tamburri - IT - Europe
Willem-Jan van den Heuvel - NL - Europe</t>
  </si>
  <si>
    <t>Shiva Nejati
Shiva Nejati</t>
  </si>
  <si>
    <t>Reference_List8_SANER2024_Mohak_Chadha</t>
  </si>
  <si>
    <t>96.43% male authors, 
3.57% female authors, 
0.00% authors of unknown gender.</t>
  </si>
  <si>
    <t xml:space="preserve">96.43% male authors, (27)
3.57% female authors, (1)
</t>
  </si>
  <si>
    <t>Vladimir Yussupov - M 
Uwe Breitenbücher - M 
Frank Leymann - M 
Christian Müller - M 
Paul Castro - M 
Vatche Ishakian - M 
Vinod Muthusamy - M 
Aleksander Slominski - M 
Anshul Jindal - M 
Michael Gerndt - M 
Mohak Chadha - M 
Vladimir Podolskiy - M 
Pengfei Chen - M 
Ataollah Fatahi Baarzi - M 
George Kesidis - M 
Carlee Joe‐Wong - W 
Mohammad Shahrad - M 
Mohak Chadha - M 
Anshul Jindal - M 
Michael Gerndt - M 
Andreas Grafberger - M 
Mohak Chadha - M 
Anshul Jindal - M 
Jianfeng Gu - M 
Michael Gerndt - M 
Pedro Rodrigues - M 
Filipe Freitas - M 
José Simão - M</t>
  </si>
  <si>
    <t>Vladimir Yussupov	KZ
Uwe BreitenbÃ¼cher	DE
Frank Leymann	DE
Christian MÃ¼ller	DE
Paul Castro	CR
Vatche Ishakian	US
Vinod Muthusamy	IN
Aleksander Slominski	US
Anshul Jindal	IN
Michael Gerndt	DE
Mohak Chadha	IN
Vladimir Podolskiy	UA
Pengfei Chen	TW
Ataollah Fatahi Baarzi	IR
George Kesidis	GR
Carlee Joeâ€Wong	unknown
Mohammad Shahrad	IR
Mohak Chadha	IN
Anshul Jindal	IN
Michael Gerndt	DE
Andreas Grafberger	DE
Mohak Chadha	IN
Anshul Jindal	IN
Jianfeng Gu	CN
Michael Gerndt	DE
Pedro Rodrigues	AO
Filipe Freitas	PT
JosÃ© SimÃ£o	AO</t>
  </si>
  <si>
    <t>Vladimir Yussupov - KZ - Asia
Uwe Breitenbücher - DE - Europe
Frank Leymann - DE - Europe
Christian Müller - DE - Europe
Paul Castro - CR - NorthAmerica
Vatche Ishakian - US - NorthAmerica
Vinod Muthusamy - IN - Asia
Aleksander Slominski - US - NorthAmerica
Anshul Jindal - IN - Asia
Michael Gerndt - DE - Europe
Mohak Chadha - IN - Asia
Vladimir Podolskiy - UA - Europe
Pengfei Chen - TW - Asia
Ataollah Fatahi Baarzi - IR - Asia
George Kesidis - GR - Europe
Carlee Joe-Wong - unknown - Unknown
Mohammad Shahrad - IR - Asia
Mohak Chadha - IN - Asia
Anshul Jindal - IN - Asia
Michael Gerndt - DE - Europe
Andreas Grafberger - DE - Europe
Mohak Chadha - IN - Asia
Anshul Jindal - IN - Asia
Jianfeng Gu - CN - Asia
Michael Gerndt - DE - Europe
Pedro Rodrigues - AO - Africa
Filipe Freitas - PT - Europe
José Simão - AO - Africa</t>
  </si>
  <si>
    <t>Vladimir Yussupov - KZ - Asia
Vinod Muthusamy - IN - Asia
Anshul Jindal - IN - Asia
Mohak Chadha - IN - Asia
Pengfei Chen - TW - Asia
Ataollah Fatahi Baarzi - IR - Asia
Mohammad Shahrad - IR - Asia
Mohak Chadha - IN - Asia
Anshul Jindal - IN - Asia
Mohak Chadha - IN - Asia
Anshul Jindal - IN - Asia
Jianfeng Gu - CN - Asia</t>
  </si>
  <si>
    <t>Uwe Breitenbücher - DE - Europe
Frank Leymann - DE - Europe
Christian Müller - DE - Europe
Paul Castro - CR - NorthAmerica
Vatche Ishakian - US - NorthAmerica
Aleksander Slominski - US - NorthAmerica
Michael Gerndt - DE - Europe
Vladimir Podolskiy - UA - Europe
George Kesidis - GR - Europe
Carlee Joe-Wong - unknown - Unknown
Michael Gerndt - DE - Europe
Andreas Grafberger - DE - Europe
Michael Gerndt - DE - Europe
Pedro Rodrigues - AO - Africa
Filipe Freitas - PT - Europe
José Simão - AO - Africa</t>
  </si>
  <si>
    <t>Reference_List88_SANER2023_Alvin_Jian_Jia_Tan</t>
  </si>
  <si>
    <t>87.50% male authors, (14)
12.50% female authors, (2)
0.00% authors of unknown gender.</t>
  </si>
  <si>
    <t>Men: 10: 62.5%
Women: 6: 37.5%</t>
  </si>
  <si>
    <t xml:space="preserve">Sai Peck Lee - M but is W
Sai Peck Lee - M but is W 
Aldeida Aleti - M but is W 
Aldeida Aleti - M but is W 
Yuan-Fang Li - W cut is M 
Aldeida Aleti - M but is W 
</t>
  </si>
  <si>
    <t>Chun Yong Chong - M 
Sai Peck Lee - W 
Teck Chaw Ling - M 
Chun Yong Chong - M 
Sai Peck Lee - W 
Carlos Oliveira - M 
Aldeida Aleti - W 
Lars Grunske - M 
Kate Smith‐Miles - W 
Carlos Oliveira - M 
Aldeida Aleti - W 
Yuan-Fang Li - M 
Mohamed Abdelrazek - M 
Alvin Jian Jia Tan - M 
Chun Yong Chong - M 
Aldeida Aleti - W</t>
  </si>
  <si>
    <t>Chun Yong Chong	LC
Sai Peck Lee	US
Teck Chaw Ling	LC
Chun Yong Chong	LC
Sai Peck Lee	US
Carlos Oliveira	BR
Aldeida Aleti	IN
Lars Grunske	DE
Kate Smithâ€Miles	unknown
Carlos Oliveira	BR
Aldeida Aleti	IN
Yuan-Fang Li	CN
Mohamed Abdelrazek	EG
Alvin Jian Jia Tan	LC
Chun Yong Chong	LC
Aldeida Aleti	IN</t>
  </si>
  <si>
    <t>Chun Yong Chong - LC - NorthAmerica
Sai Peck Lee - US - NorthAmerica
Teck Chaw Ling - LC - NorthAmerica
Chun Yong Chong - LC - NorthAmerica
Sai Peck Lee - US - NorthAmerica
Carlos Oliveira - BR - SouthAmerica
Aldeida Aleti - IN - Asia
Lars Grunske - DE - Europe
Kate Smith-Miles - unknown - Unknown
Carlos Oliveira - BR - SouthAmerica
Aldeida Aleti - IN - Asia
Yuan-Fang Li - CN - Asia
Mohamed Abdelrazek - EG - Africa
Alvin Jian Jia Tan - LC - NorthAmerica
Chun Yong Chong - LC - NorthAmerica
Aldeida Aleti - IN - Asia</t>
  </si>
  <si>
    <t>Aldeida Aleti - IN - Asia
Aldeida Aleti - IN - Asia
Yuan-Fang Li - CN - Asia
Aldeida Aleti - IN - Asia</t>
  </si>
  <si>
    <t>Chun Yong Chong - LC - NorthAmerica
Sai Peck Lee - US - NorthAmerica
Teck Chaw Ling - LC - NorthAmerica
Chun Yong Chong - LC - NorthAmerica
Sai Peck Lee - US - NorthAmerica
Carlos Oliveira - BR - SouthAmerica
Lars Grunske - DE - Europe
Kate Smith-Miles - unknown - Unknown
Carlos Oliveira - BR - SouthAmerica
Mohamed Abdelrazek - EG - Africa
Alvin Jian Jia Tan - LC - NorthAmerica
Chun Yong Chong - LC - NorthAmerica</t>
  </si>
  <si>
    <t xml:space="preserve">Aldeida Aleti 
Aldeida Aleti  
Yuan-Fang Li 
Aldeida Aleti </t>
  </si>
  <si>
    <t>4 from 6</t>
  </si>
  <si>
    <t>Reference_List99_SANER2024_Libin_Xia</t>
  </si>
  <si>
    <t>83.33% male authors, 25
16.67% female authors, 5
0.00% authors of unknown gender.</t>
  </si>
  <si>
    <t>Men: 24: 80%
Women: 6: 20%</t>
  </si>
  <si>
    <t>Xiwei Xu - M is W</t>
  </si>
  <si>
    <t>Sarah Nadi - W 
Stefan Krüger - M 
Mira Mezini - W 
Eric Bodden - M 
Matthew Green - M 
Matthew Smith - M 
Darius Mercadier - M 
Pierre-Évariste Dagand - M 
Stefan Krüger - M 
Johannes Späth - M 
Karim Ali - M 
Eric Bodden - M 
Mira Mezini - W 
Samuel Steffen - M 
Benjamin Bichsel - M 
Mario Gersbach - M 
Noa Melchior - W 
Petar Tsankov - M 
Martin Vechev - M 
Guido Governatori - M 
Florian Idelberger - M 
Zoran Milošević - M 
Régis Riveret - M 
Giovanni Sartor - M 
Xiwei Xu - W 
Jiashuo Zhang - M 
Yue Li - W 
Jianbo Gao - M 
Zhi Guan - M 
Zhong Chen - M</t>
  </si>
  <si>
    <t>Sarah Nadi	MA
Stefan KrÃ¼ger	DE
Mira Mezini	AL
Eric Bodden	HN
Matthew Green	US
Matthew Smith	US
Darius Mercadier	FR
Pierre-Ã‰variste Dagand	FR
Stefan KrÃ¼ger	DE
Johannes SpÃ¤th	DE
Karim Ali	DK
Eric Bodden	HN
Mira Mezini	AL
Samuel Steffen	CH
Benjamin Bichsel	CH
Mario Gersbach	AU
Noa Melchior	DK
Petar Tsankov	BG
Martin Vechev	BG
Guido Governatori	IT
Florian Idelberger	DE
Zoran MiloÅ¡eviÄ‡	RS
RÃ©gis Riveret	FR
Giovanni Sartor	IT
Xiwei Xu	CN
Jiashuo Zhang	CN
Yue Li	SG
Jianbo Gao	CN
Zhi Guan	MY
Zhong Chen	GB</t>
  </si>
  <si>
    <t>Sarah Nadi - MA - Africa
Stefan Krüger - DE - Europe
Mira Mezini - AL - Europe
Eric Bodden - HN - NorthAmerica
Matthew Green - US - NorthAmerica
Matthew Smith - US - NorthAmerica
Darius Mercadier - FR - Europe
Pierre-Évariste Dagand - FR - Europe
Stefan Krüger - DE - Europe
Johannes Späth - DE - Europe
Karim Ali - DK - Europe
Eric Bodden - HN - NorthAmerica
Mira Mezini - AL - Europe
Samuel Steffen - CH - Europe
Benjamin Bichsel - CH - Europe
Mario Gersbach - AU - Oceania
Noa Melchior - DK - Europe
Petar Tsankov - BG - Europe
Martin Vechev - BG - Europe
Guido Governatori - IT - Europe
Florian Idelberger - DE - Europe
Zoran Milošević - RS - Europe
Régis Riveret - FR - Europe
Giovanni Sartor - IT - Europe
Xiwei Xu - CN - Asia
Jiashuo Zhang - CN - Asia
Yue Li - SG - Asia
Jianbo Gao - CN - Asia
Zhi Guan - MY - Asia
Zhong Chen - GB - Europe</t>
  </si>
  <si>
    <t>Xiwei Xu - CN - Asia
Jiashuo Zhang - CN - Asia
Yue Li - SG - Asia
Jianbo Gao - CN - Asia
Zhi Guan - MY - Asia</t>
  </si>
  <si>
    <t>Sarah Nadi - MA - Africa
Stefan Krüger - DE - Europe
Mira Mezini - AL - Europe
Eric Bodden - HN - NorthAmerica
Matthew Green - US - NorthAmerica
Matthew Smith - US - NorthAmerica
Darius Mercadier - FR - Europe
Pierre-Évariste Dagand - FR - Europe
Stefan Krüger - DE - Europe
Johannes Späth - DE - Europe
Karim Ali - DK - Europe
Eric Bodden - HN - NorthAmerica
Mira Mezini - AL - Europe
Samuel Steffen - CH - Europe
Benjamin Bichsel - CH - Europe
Mario Gersbach - AU - Oceania
Noa Melchior - DK - Europe
Petar Tsankov - BG - Europe
Martin Vechev - BG - Europe
Guido Governatori - IT - Europe
Florian Idelberger - DE - Europe
Zoran Milošević - RS - Europe
Régis Riveret - FR - Europe
Giovanni Sartor - IT - Europe
Zhong Chen - GB - Europe</t>
  </si>
  <si>
    <t xml:space="preserve">Xiwei Xu </t>
  </si>
  <si>
    <t>ESEM</t>
  </si>
  <si>
    <t>EASE</t>
  </si>
  <si>
    <t>SANER</t>
  </si>
  <si>
    <t xml:space="preserve">Reference </t>
  </si>
  <si>
    <t xml:space="preserve"> Incorrect classifications</t>
  </si>
  <si>
    <t>Total Number of incorrect classifications</t>
  </si>
  <si>
    <t># incorrectly labeled Asian authors</t>
  </si>
  <si>
    <t># of Asian authors</t>
  </si>
  <si>
    <t># of non-Asian authors</t>
  </si>
  <si>
    <t>Jiaxin Zhu
D. Sculley</t>
  </si>
  <si>
    <t xml:space="preserve">Yann‐Gaël Guéhéneuc 
</t>
  </si>
  <si>
    <t xml:space="preserve">Mark A. Ardis </t>
  </si>
  <si>
    <t>Andrea Arcuri (twice)
Yue Jia (5 times)
Hans-Peter Kriegel
M.D. Jiménez–Gamero
R.H. Untch</t>
  </si>
  <si>
    <t>Basel Katt i</t>
  </si>
  <si>
    <t>D. Sculley</t>
  </si>
  <si>
    <t>Shaoying Liu
Youn-kyung Lim
Béat Hirsbrunner
J. A. Chevary
S. H. Vosko</t>
  </si>
  <si>
    <t>Andrea De Lucia
D. Sculley</t>
  </si>
  <si>
    <t>Sasha Romanosky
Asankhaya Sharma 
Li Sui</t>
  </si>
  <si>
    <t>Total</t>
  </si>
  <si>
    <t>Percentage</t>
  </si>
  <si>
    <t>Total incorrect classifications 
(ESEM, EASE, SANER)</t>
  </si>
  <si>
    <t>Asian Authors - 
incorrect classifications 
(ESEM, EASE, SANER)</t>
  </si>
  <si>
    <t>As a percentage (%)</t>
  </si>
  <si>
    <t>Overall</t>
  </si>
  <si>
    <t>Total # of Asian authors</t>
  </si>
  <si>
    <t>Total # of non-Asian authors</t>
  </si>
  <si>
    <t>Total # of authors</t>
  </si>
  <si>
    <t>OVERALL CONFUSION MATRIX</t>
  </si>
  <si>
    <t>Gender-API Misclassifications (Errors Only)</t>
  </si>
  <si>
    <t>Pred: Male</t>
  </si>
  <si>
    <t>Pred: Female</t>
  </si>
  <si>
    <t>Pred: Unknown</t>
  </si>
  <si>
    <t>Row Total</t>
  </si>
  <si>
    <t>Actual: Male</t>
  </si>
  <si>
    <t>Actual: Female</t>
  </si>
  <si>
    <t>Actual: Unknown</t>
  </si>
  <si>
    <t>Column Total</t>
  </si>
  <si>
    <t>TOTAL ERRORS</t>
  </si>
  <si>
    <t>CONFERENCE BREAKDOWN - Gender-API Misclassifications</t>
  </si>
  <si>
    <t>(Extracted from Column E 'Differences' across 55 reference lists)</t>
  </si>
  <si>
    <t>Conference</t>
  </si>
  <si>
    <t>F→M</t>
  </si>
  <si>
    <t>M→F</t>
  </si>
  <si>
    <t>X→M</t>
  </si>
  <si>
    <t>X→F</t>
  </si>
  <si>
    <t>Total Errors</t>
  </si>
  <si>
    <t>TOTAL</t>
  </si>
  <si>
    <t>ASIAN AUTHORS</t>
  </si>
  <si>
    <t>Confusion Matrix (Errors Only)</t>
  </si>
  <si>
    <t>Full Matrix:</t>
  </si>
  <si>
    <t>NON-ASIAN AUTHORS</t>
  </si>
  <si>
    <t>COMPARISON: Asian vs Non-Asian</t>
  </si>
  <si>
    <t>Metric</t>
  </si>
  <si>
    <t>Asian</t>
  </si>
  <si>
    <t>Non-Asian</t>
  </si>
  <si>
    <t>Difference</t>
  </si>
  <si>
    <t>Notes</t>
  </si>
  <si>
    <t>Total Authors</t>
  </si>
  <si>
    <t>Base population</t>
  </si>
  <si>
    <t>More errors for Asian</t>
  </si>
  <si>
    <t>KEY FINDING</t>
  </si>
  <si>
    <t>Gender-API is LESS ACCURATE for Asian names:</t>
  </si>
  <si>
    <t>• Asian authors: 8.59% error rate vs Non-Asian: 3.03% error rate</t>
  </si>
  <si>
    <t>• Asian authors account for 56.1% of all misclassifications</t>
  </si>
  <si>
    <t>• Despite being only 31.1% of total authors (1,176 / 3,783)</t>
  </si>
  <si>
    <t>LEGEND</t>
  </si>
  <si>
    <t>Predicted Female/W, Actual Male</t>
  </si>
  <si>
    <t>Predicted Male, Actual Female/W</t>
  </si>
  <si>
    <t>Predicted Unknown, Actual Male</t>
  </si>
  <si>
    <t>Predicted Unknown, Actual 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</si>
</sst>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font>
      <sz val="11"/>
      <color theme="1"/>
      <name val="Aptos Narrow"/>
      <family val="2"/>
      <scheme val="minor"/>
    </font>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b/>
      <sz val="11"/>
      <color rgb="FF3F3F3F"/>
      <name val="Aptos Narrow"/>
      <family val="2"/>
      <scheme val="minor"/>
    </font>
    <font>
      <b/>
      <sz val="11"/>
      <color theme="1"/>
      <name val="Aptos Narrow"/>
      <family val="2"/>
      <scheme val="minor"/>
    </font>
    <font>
      <sz val="11"/>
      <name val="Aptos Narrow"/>
      <family val="2"/>
      <scheme val="minor"/>
    </font>
    <font>
      <sz val="11"/>
      <name val="Aptos Display"/>
      <family val="2"/>
      <scheme val="major"/>
    </font>
    <font>
      <b/>
      <sz val="11"/>
      <name val="Aptos Display"/>
      <family val="2"/>
      <scheme val="major"/>
    </font>
    <font>
      <sz val="10"/>
      <name val="Aptos Display"/>
      <family val="2"/>
      <scheme val="major"/>
    </font>
    <font>
      <b/>
      <sz val="10"/>
      <name val="Aptos Display"/>
      <family val="2"/>
      <scheme val="major"/>
    </font>
    <font>
      <sz val="16"/>
      <color theme="1"/>
      <name val="Aptos Narrow"/>
      <family val="2"/>
      <scheme val="minor"/>
    </font>
    <font>
      <b/>
      <sz val="18"/>
      <name val="Aptos Display"/>
      <family val="2"/>
      <scheme val="major"/>
    </font>
    <font>
      <b/>
      <sz val="18"/>
      <color theme="1"/>
      <name val="Aptos Narrow"/>
      <family val="2"/>
      <scheme val="minor"/>
    </font>
    <font>
      <b/>
      <sz val="16"/>
      <color theme="1"/>
      <name val="Aptos Narrow"/>
      <family val="2"/>
      <scheme val="minor"/>
    </font>
    <font>
      <b/>
      <sz val="16"/>
      <name val="Aptos Narrow"/>
      <family val="2"/>
      <scheme val="minor"/>
    </font>
    <font>
      <b/>
      <sz val="16"/>
      <name val="Aptos Display"/>
      <family val="2"/>
      <scheme val="major"/>
    </font>
    <font>
      <sz val="16"/>
      <name val="Aptos Display"/>
      <family val="2"/>
      <scheme val="major"/>
    </font>
    <font>
      <sz val="11"/>
      <color rgb="FFFF0000"/>
      <name val="Aptos Narrow"/>
      <family val="2"/>
      <scheme val="minor"/>
    </font>
    <font>
      <b/>
      <sz val="12"/>
      <color theme="1"/>
      <name val="Aptos Narrow"/>
      <family val="2"/>
      <scheme val="minor"/>
    </font>
    <font>
      <i/>
      <sz val="11"/>
      <color theme="1"/>
      <name val="Aptos Narrow"/>
      <family val="2"/>
      <scheme val="minor"/>
    </font>
    <font>
      <b/>
      <sz val="14"/>
      <color rgb="FFFFFFFF"/>
      <name val="Aptos Narrow"/>
      <family val="2"/>
      <scheme val="minor"/>
    </font>
    <font>
      <b/>
      <sz val="14"/>
      <color rgb="FFC00000"/>
      <name val="Aptos Narrow"/>
      <family val="2"/>
      <scheme val="minor"/>
    </font>
    <font>
      <b/>
      <sz val="12"/>
      <color rgb="FFFFFFFF"/>
      <name val="Aptos Narrow"/>
      <family val="2"/>
      <scheme val="minor"/>
    </font>
    <font>
      <b/>
      <i/>
      <sz val="1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theme="6" tint="0.39997558519241921"/>
        <bgColor indexed="65"/>
      </patternFill>
    </fill>
    <fill>
      <patternFill patternType="solid">
        <fgColor rgb="FFFF6577"/>
        <bgColor indexed="64"/>
      </patternFill>
    </fill>
    <fill>
      <patternFill patternType="solid">
        <fgColor theme="0"/>
        <bgColor indexed="64"/>
      </patternFill>
    </fill>
    <fill>
      <patternFill patternType="solid">
        <fgColor rgb="FFFFD10D"/>
        <bgColor indexed="64"/>
      </patternFill>
    </fill>
    <fill>
      <patternFill patternType="solid">
        <fgColor rgb="FFFFF4C5"/>
        <bgColor indexed="64"/>
      </patternFill>
    </fill>
    <fill>
      <patternFill patternType="solid">
        <fgColor rgb="FFECFAEF"/>
        <bgColor indexed="64"/>
      </patternFill>
    </fill>
    <fill>
      <patternFill patternType="solid">
        <fgColor rgb="FFFFE1E5"/>
        <bgColor indexed="64"/>
      </patternFill>
    </fill>
    <fill>
      <patternFill patternType="solid">
        <fgColor rgb="FFFFA7B1"/>
        <bgColor indexed="64"/>
      </patternFill>
    </fill>
    <fill>
      <patternFill patternType="solid">
        <fgColor rgb="FFAEE8B9"/>
        <bgColor indexed="64"/>
      </patternFill>
    </fill>
    <fill>
      <patternFill patternType="solid">
        <fgColor rgb="FFFFE575"/>
        <bgColor indexed="64"/>
      </patternFill>
    </fill>
    <fill>
      <patternFill patternType="solid">
        <fgColor rgb="FFFFFF00"/>
        <bgColor indexed="64"/>
      </patternFill>
    </fill>
    <fill>
      <patternFill patternType="solid">
        <fgColor theme="2"/>
        <bgColor indexed="64"/>
      </patternFill>
    </fill>
    <fill>
      <patternFill patternType="solid">
        <fgColor rgb="FF4472C4"/>
        <bgColor indexed="64"/>
      </patternFill>
    </fill>
    <fill>
      <patternFill patternType="solid">
        <fgColor rgb="FFE2EFDA"/>
        <bgColor indexed="64"/>
      </patternFill>
    </fill>
    <fill>
      <patternFill patternType="solid">
        <fgColor rgb="FFD9E2F3"/>
        <bgColor indexed="64"/>
      </patternFill>
    </fill>
    <fill>
      <patternFill patternType="solid">
        <fgColor rgb="FF2F5496"/>
        <bgColor indexed="64"/>
      </patternFill>
    </fill>
    <fill>
      <patternFill patternType="solid">
        <fgColor rgb="FFD6DCE5"/>
        <bgColor indexed="64"/>
      </patternFill>
    </fill>
    <fill>
      <patternFill patternType="solid">
        <fgColor rgb="FFF8CBAD"/>
        <bgColor indexed="64"/>
      </patternFill>
    </fill>
    <fill>
      <patternFill patternType="solid">
        <fgColor rgb="FF538135"/>
        <bgColor indexed="64"/>
      </patternFill>
    </fill>
    <fill>
      <patternFill patternType="solid">
        <fgColor rgb="FFC5E0B4"/>
        <bgColor indexed="64"/>
      </patternFill>
    </fill>
    <fill>
      <patternFill patternType="solid">
        <fgColor rgb="FF7030A0"/>
        <bgColor indexed="64"/>
      </patternFill>
    </fill>
    <fill>
      <patternFill patternType="solid">
        <fgColor rgb="FFE2D1F0"/>
        <bgColor indexed="64"/>
      </patternFill>
    </fill>
    <fill>
      <patternFill patternType="solid">
        <fgColor rgb="FFF2E8FA"/>
        <bgColor indexed="64"/>
      </patternFill>
    </fill>
    <fill>
      <patternFill patternType="solid">
        <fgColor rgb="FFC00000"/>
        <bgColor indexed="64"/>
      </patternFill>
    </fill>
    <fill>
      <patternFill patternType="solid">
        <fgColor rgb="FFFFCCCC"/>
        <bgColor indexed="64"/>
      </patternFill>
    </fill>
    <fill>
      <patternFill patternType="solid">
        <fgColor rgb="FFFFE699"/>
        <bgColor indexed="64"/>
      </patternFill>
    </fill>
    <fill>
      <patternFill patternType="solid">
        <fgColor rgb="FFDDDDDD"/>
        <bgColor indexed="64"/>
      </patternFill>
    </fill>
  </fills>
  <borders count="21">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rgb="FF3F3F3F"/>
      </left>
      <right style="thin">
        <color rgb="FF3F3F3F"/>
      </right>
      <top style="thin">
        <color rgb="FF3F3F3F"/>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right/>
      <top/>
      <bottom style="thin">
        <color auto="1"/>
      </bottom>
      <diagonal/>
    </border>
    <border>
      <left/>
      <right/>
      <top style="thin">
        <color auto="1"/>
      </top>
      <bottom/>
      <diagonal/>
    </border>
    <border>
      <left/>
      <right style="thin">
        <color auto="1"/>
      </right>
      <top/>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medium">
        <color auto="1"/>
      </bottom>
      <diagonal/>
    </border>
  </borders>
  <cellStyleXfs count="6">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5" borderId="1" applyNumberFormat="0" applyAlignment="0" applyProtection="0"/>
    <xf numFmtId="0" fontId="1" fillId="6" borderId="0" applyNumberFormat="0" applyBorder="0" applyAlignment="0" applyProtection="0"/>
  </cellStyleXfs>
  <cellXfs count="117">
    <xf numFmtId="0" fontId="0" fillId="0" borderId="0" xfId="0"/>
    <xf numFmtId="0" fontId="0" fillId="0" borderId="0" xfId="0" applyAlignment="1">
      <alignment vertical="top" wrapText="1"/>
    </xf>
    <xf numFmtId="0" fontId="0" fillId="8" borderId="0" xfId="0" applyFill="1" applyAlignment="1">
      <alignment horizontal="left" vertical="top" wrapText="1"/>
    </xf>
    <xf numFmtId="0" fontId="2" fillId="2" borderId="2" xfId="1" applyBorder="1" applyAlignment="1">
      <alignment horizontal="left" vertical="top" wrapText="1"/>
    </xf>
    <xf numFmtId="0" fontId="2" fillId="2" borderId="2" xfId="1" applyBorder="1" applyAlignment="1">
      <alignment horizontal="left" vertical="top"/>
    </xf>
    <xf numFmtId="0" fontId="2" fillId="2" borderId="9" xfId="1" applyBorder="1" applyAlignment="1">
      <alignment horizontal="left" vertical="top" wrapText="1"/>
    </xf>
    <xf numFmtId="0" fontId="0" fillId="0" borderId="0" xfId="0" applyAlignment="1">
      <alignment wrapText="1"/>
    </xf>
    <xf numFmtId="0" fontId="5" fillId="5" borderId="3" xfId="4" applyBorder="1" applyAlignment="1">
      <alignment horizontal="left" vertical="top" wrapText="1"/>
    </xf>
    <xf numFmtId="0" fontId="5" fillId="5" borderId="4" xfId="4" applyBorder="1" applyAlignment="1">
      <alignment horizontal="left" vertical="top" wrapText="1"/>
    </xf>
    <xf numFmtId="0" fontId="7" fillId="2" borderId="2" xfId="1" applyFont="1" applyBorder="1" applyAlignment="1">
      <alignment vertical="top" wrapText="1"/>
    </xf>
    <xf numFmtId="0" fontId="7" fillId="2" borderId="2" xfId="1" applyFont="1" applyBorder="1" applyAlignment="1">
      <alignment vertical="top"/>
    </xf>
    <xf numFmtId="0" fontId="8" fillId="0" borderId="0" xfId="0" applyFont="1" applyAlignment="1">
      <alignment vertical="top"/>
    </xf>
    <xf numFmtId="0" fontId="10" fillId="0" borderId="0" xfId="0" applyFont="1" applyAlignment="1">
      <alignment vertical="top"/>
    </xf>
    <xf numFmtId="0" fontId="8" fillId="8" borderId="6" xfId="0" applyFont="1" applyFill="1" applyBorder="1" applyAlignment="1">
      <alignment horizontal="left" vertical="top"/>
    </xf>
    <xf numFmtId="0" fontId="8" fillId="8" borderId="2" xfId="0" applyFont="1" applyFill="1" applyBorder="1" applyAlignment="1">
      <alignment horizontal="left" vertical="top"/>
    </xf>
    <xf numFmtId="0" fontId="8" fillId="8" borderId="2" xfId="0" applyFont="1" applyFill="1" applyBorder="1" applyAlignment="1">
      <alignment horizontal="left" vertical="top" wrapText="1"/>
    </xf>
    <xf numFmtId="0" fontId="8" fillId="8" borderId="8" xfId="0" applyFont="1" applyFill="1" applyBorder="1" applyAlignment="1">
      <alignment horizontal="left" vertical="top"/>
    </xf>
    <xf numFmtId="0" fontId="8" fillId="8" borderId="9" xfId="0" applyFont="1" applyFill="1" applyBorder="1" applyAlignment="1">
      <alignment horizontal="left" vertical="top"/>
    </xf>
    <xf numFmtId="0" fontId="8" fillId="8" borderId="9" xfId="0" applyFont="1" applyFill="1" applyBorder="1" applyAlignment="1">
      <alignment horizontal="left" vertical="top" wrapText="1"/>
    </xf>
    <xf numFmtId="0" fontId="8" fillId="8" borderId="0" xfId="0" applyFont="1" applyFill="1" applyAlignment="1">
      <alignment vertical="top"/>
    </xf>
    <xf numFmtId="0" fontId="11" fillId="5" borderId="1" xfId="4" applyFont="1" applyAlignment="1">
      <alignment horizontal="left" vertical="top"/>
    </xf>
    <xf numFmtId="0" fontId="11" fillId="5" borderId="1" xfId="4" applyFont="1" applyAlignment="1">
      <alignment horizontal="left" vertical="top" wrapText="1"/>
    </xf>
    <xf numFmtId="0" fontId="10" fillId="8" borderId="0" xfId="0" applyFont="1" applyFill="1" applyAlignment="1">
      <alignment horizontal="left" vertical="top"/>
    </xf>
    <xf numFmtId="0" fontId="10" fillId="0" borderId="0" xfId="1" applyFont="1" applyFill="1" applyAlignment="1">
      <alignment vertical="top"/>
    </xf>
    <xf numFmtId="0" fontId="10" fillId="8" borderId="0" xfId="0" applyFont="1" applyFill="1" applyAlignment="1">
      <alignment vertical="top"/>
    </xf>
    <xf numFmtId="0" fontId="9" fillId="5" borderId="12" xfId="4" applyFont="1" applyBorder="1" applyAlignment="1">
      <alignment vertical="top"/>
    </xf>
    <xf numFmtId="0" fontId="9" fillId="5" borderId="12" xfId="4" applyFont="1" applyBorder="1" applyAlignment="1">
      <alignment vertical="top" wrapText="1"/>
    </xf>
    <xf numFmtId="0" fontId="8" fillId="8" borderId="2" xfId="0" applyFont="1" applyFill="1" applyBorder="1" applyAlignment="1">
      <alignment vertical="top"/>
    </xf>
    <xf numFmtId="0" fontId="8" fillId="8" borderId="2" xfId="0" applyFont="1" applyFill="1" applyBorder="1" applyAlignment="1">
      <alignment vertical="top" wrapText="1"/>
    </xf>
    <xf numFmtId="0" fontId="2" fillId="2" borderId="13" xfId="1" applyBorder="1" applyAlignment="1">
      <alignment vertical="top"/>
    </xf>
    <xf numFmtId="0" fontId="2" fillId="2" borderId="11" xfId="1" applyBorder="1" applyAlignment="1">
      <alignment vertical="top"/>
    </xf>
    <xf numFmtId="0" fontId="2" fillId="2" borderId="4" xfId="1" applyBorder="1" applyAlignment="1">
      <alignment horizontal="left" vertical="top"/>
    </xf>
    <xf numFmtId="0" fontId="2" fillId="2" borderId="5" xfId="1" applyBorder="1" applyAlignment="1">
      <alignment horizontal="left" vertical="top"/>
    </xf>
    <xf numFmtId="0" fontId="14" fillId="0" borderId="0" xfId="0" applyFont="1" applyAlignment="1">
      <alignment horizontal="center" wrapText="1"/>
    </xf>
    <xf numFmtId="0" fontId="5" fillId="5" borderId="5" xfId="4" applyBorder="1" applyAlignment="1">
      <alignment horizontal="left" vertical="top" wrapText="1"/>
    </xf>
    <xf numFmtId="0" fontId="8" fillId="8" borderId="7" xfId="0" applyFont="1" applyFill="1" applyBorder="1" applyAlignment="1">
      <alignment horizontal="left" vertical="top" wrapText="1"/>
    </xf>
    <xf numFmtId="0" fontId="8" fillId="8" borderId="10" xfId="0" applyFont="1" applyFill="1" applyBorder="1" applyAlignment="1">
      <alignment horizontal="left" vertical="top" wrapText="1"/>
    </xf>
    <xf numFmtId="0" fontId="8" fillId="8" borderId="6" xfId="0" applyFont="1" applyFill="1" applyBorder="1" applyAlignment="1">
      <alignment horizontal="left" vertical="top" wrapText="1"/>
    </xf>
    <xf numFmtId="0" fontId="8" fillId="8" borderId="8" xfId="0" applyFont="1" applyFill="1" applyBorder="1" applyAlignment="1">
      <alignment horizontal="left" vertical="top" wrapText="1"/>
    </xf>
    <xf numFmtId="0" fontId="12" fillId="0" borderId="0" xfId="0" applyFont="1" applyAlignment="1">
      <alignment wrapText="1"/>
    </xf>
    <xf numFmtId="0" fontId="15" fillId="0" borderId="0" xfId="0" applyFont="1" applyAlignment="1">
      <alignment wrapText="1"/>
    </xf>
    <xf numFmtId="0" fontId="12" fillId="0" borderId="0" xfId="0" applyFont="1" applyAlignment="1">
      <alignment vertical="top" wrapText="1"/>
    </xf>
    <xf numFmtId="164" fontId="15" fillId="13" borderId="14" xfId="0" applyNumberFormat="1" applyFont="1" applyFill="1" applyBorder="1" applyAlignment="1">
      <alignment wrapText="1"/>
    </xf>
    <xf numFmtId="164" fontId="15" fillId="14" borderId="14" xfId="0" applyNumberFormat="1" applyFont="1" applyFill="1" applyBorder="1" applyAlignment="1">
      <alignment wrapText="1"/>
    </xf>
    <xf numFmtId="164" fontId="15" fillId="15" borderId="14" xfId="0" applyNumberFormat="1" applyFont="1" applyFill="1" applyBorder="1" applyAlignment="1">
      <alignment wrapText="1"/>
    </xf>
    <xf numFmtId="0" fontId="8" fillId="12" borderId="2" xfId="2" applyFont="1" applyFill="1" applyBorder="1" applyAlignment="1">
      <alignment horizontal="center" vertical="center" wrapText="1"/>
    </xf>
    <xf numFmtId="0" fontId="7" fillId="12" borderId="2" xfId="2" applyFont="1" applyFill="1" applyBorder="1" applyAlignment="1">
      <alignment horizontal="center" vertical="center" wrapText="1"/>
    </xf>
    <xf numFmtId="0" fontId="8" fillId="11" borderId="2" xfId="1" applyFont="1" applyFill="1" applyBorder="1" applyAlignment="1">
      <alignment horizontal="center" vertical="center" wrapText="1"/>
    </xf>
    <xf numFmtId="0" fontId="7" fillId="12" borderId="2" xfId="2" applyFont="1" applyFill="1" applyBorder="1" applyAlignment="1">
      <alignment horizontal="center" vertical="center"/>
    </xf>
    <xf numFmtId="0" fontId="8" fillId="8" borderId="2" xfId="0" applyFont="1" applyFill="1" applyBorder="1" applyAlignment="1">
      <alignment horizontal="center" vertical="center" wrapText="1"/>
    </xf>
    <xf numFmtId="0" fontId="8" fillId="0" borderId="2" xfId="0" applyFont="1" applyBorder="1" applyAlignment="1">
      <alignment horizontal="center" vertical="center" wrapText="1"/>
    </xf>
    <xf numFmtId="0" fontId="16" fillId="8" borderId="2" xfId="0" applyFont="1" applyFill="1" applyBorder="1" applyAlignment="1">
      <alignment horizontal="center" vertical="center" wrapText="1"/>
    </xf>
    <xf numFmtId="0" fontId="16" fillId="13" borderId="2" xfId="0" applyFont="1" applyFill="1" applyBorder="1" applyAlignment="1">
      <alignment horizontal="center" vertical="center" wrapText="1"/>
    </xf>
    <xf numFmtId="0" fontId="16" fillId="0" borderId="2" xfId="0" applyFont="1" applyBorder="1" applyAlignment="1">
      <alignment horizontal="center" vertical="center" wrapText="1"/>
    </xf>
    <xf numFmtId="0" fontId="16" fillId="14" borderId="2" xfId="0" applyFont="1" applyFill="1" applyBorder="1" applyAlignment="1">
      <alignment horizontal="center" vertical="center" wrapText="1"/>
    </xf>
    <xf numFmtId="0" fontId="16" fillId="15" borderId="2" xfId="0" applyFont="1" applyFill="1" applyBorder="1" applyAlignment="1">
      <alignment horizontal="center" vertical="center" wrapText="1"/>
    </xf>
    <xf numFmtId="0" fontId="17" fillId="13" borderId="2" xfId="2" applyFont="1" applyFill="1" applyBorder="1" applyAlignment="1">
      <alignment horizontal="center" vertical="center" wrapText="1"/>
    </xf>
    <xf numFmtId="0" fontId="16" fillId="13" borderId="2" xfId="2" applyFont="1" applyFill="1" applyBorder="1" applyAlignment="1">
      <alignment horizontal="center" vertical="center"/>
    </xf>
    <xf numFmtId="0" fontId="17" fillId="14" borderId="2" xfId="1" applyFont="1" applyFill="1" applyBorder="1" applyAlignment="1">
      <alignment horizontal="center" vertical="center" wrapText="1"/>
    </xf>
    <xf numFmtId="0" fontId="18" fillId="15" borderId="2" xfId="3" applyFont="1" applyFill="1" applyBorder="1" applyAlignment="1">
      <alignment horizontal="center" vertical="center" wrapText="1"/>
    </xf>
    <xf numFmtId="164" fontId="15" fillId="8" borderId="14" xfId="0" applyNumberFormat="1" applyFont="1" applyFill="1" applyBorder="1" applyAlignment="1">
      <alignment wrapText="1"/>
    </xf>
    <xf numFmtId="0" fontId="8" fillId="10" borderId="2" xfId="3" applyFont="1" applyFill="1" applyBorder="1" applyAlignment="1">
      <alignment horizontal="center" vertical="center" wrapText="1"/>
    </xf>
    <xf numFmtId="0" fontId="0" fillId="0" borderId="0" xfId="0" applyAlignment="1">
      <alignment horizontal="center" vertical="top" wrapText="1"/>
    </xf>
    <xf numFmtId="0" fontId="0" fillId="16" borderId="14" xfId="0" applyFill="1" applyBorder="1" applyAlignment="1">
      <alignment horizontal="center" vertical="top" wrapText="1"/>
    </xf>
    <xf numFmtId="0" fontId="0" fillId="0" borderId="9" xfId="0" applyBorder="1" applyAlignment="1">
      <alignment horizontal="center" vertical="top" wrapText="1"/>
    </xf>
    <xf numFmtId="0" fontId="0" fillId="17" borderId="2" xfId="0" applyFill="1" applyBorder="1" applyAlignment="1">
      <alignment horizontal="center" vertical="top" wrapText="1"/>
    </xf>
    <xf numFmtId="3" fontId="19" fillId="0" borderId="0" xfId="0" applyNumberFormat="1" applyFont="1" applyAlignment="1">
      <alignment horizontal="center" vertical="top" wrapText="1"/>
    </xf>
    <xf numFmtId="0" fontId="0" fillId="0" borderId="2" xfId="0" applyBorder="1" applyAlignment="1">
      <alignment horizontal="center" vertical="top" wrapText="1"/>
    </xf>
    <xf numFmtId="0" fontId="0" fillId="0" borderId="2" xfId="0" applyBorder="1" applyAlignment="1">
      <alignment horizontal="center" vertical="top" wrapText="1"/>
    </xf>
    <xf numFmtId="164" fontId="0" fillId="0" borderId="7" xfId="0" applyNumberFormat="1" applyBorder="1" applyAlignment="1">
      <alignment horizontal="center" vertical="top" wrapText="1"/>
    </xf>
    <xf numFmtId="164" fontId="0" fillId="0" borderId="15" xfId="0" applyNumberFormat="1" applyBorder="1" applyAlignment="1">
      <alignment horizontal="center" vertical="top" wrapText="1"/>
    </xf>
    <xf numFmtId="164" fontId="0" fillId="0" borderId="6" xfId="0" applyNumberFormat="1" applyBorder="1" applyAlignment="1">
      <alignment horizontal="center" vertical="top" wrapText="1"/>
    </xf>
    <xf numFmtId="0" fontId="0" fillId="17" borderId="7" xfId="0" applyFill="1" applyBorder="1" applyAlignment="1">
      <alignment horizontal="center" vertical="top" wrapText="1"/>
    </xf>
    <xf numFmtId="0" fontId="0" fillId="17" borderId="6" xfId="0" applyFill="1" applyBorder="1" applyAlignment="1">
      <alignment horizontal="center" vertical="top" wrapText="1"/>
    </xf>
    <xf numFmtId="0" fontId="13" fillId="6" borderId="2" xfId="5" applyFont="1" applyBorder="1" applyAlignment="1">
      <alignment horizontal="center" vertical="center" wrapText="1"/>
    </xf>
    <xf numFmtId="0" fontId="13" fillId="7" borderId="2" xfId="0" applyFont="1" applyFill="1" applyBorder="1" applyAlignment="1">
      <alignment horizontal="center" vertical="center" wrapText="1"/>
    </xf>
    <xf numFmtId="0" fontId="13" fillId="9" borderId="2" xfId="3" applyFont="1" applyFill="1" applyBorder="1" applyAlignment="1">
      <alignment horizontal="center" vertical="center" wrapText="1"/>
    </xf>
    <xf numFmtId="164" fontId="15" fillId="0" borderId="0" xfId="0" applyNumberFormat="1" applyFont="1" applyFill="1" applyAlignment="1">
      <alignment wrapText="1"/>
    </xf>
    <xf numFmtId="0" fontId="6" fillId="0" borderId="0" xfId="0" applyFont="1"/>
    <xf numFmtId="0" fontId="6" fillId="22" borderId="2" xfId="0" applyFont="1" applyFill="1" applyBorder="1"/>
    <xf numFmtId="0" fontId="0" fillId="0" borderId="2" xfId="0" applyBorder="1"/>
    <xf numFmtId="0" fontId="0" fillId="0" borderId="2" xfId="0" applyBorder="1" applyAlignment="1">
      <alignment horizontal="center"/>
    </xf>
    <xf numFmtId="0" fontId="0" fillId="23" borderId="2" xfId="0" applyFill="1" applyBorder="1" applyAlignment="1">
      <alignment horizontal="center"/>
    </xf>
    <xf numFmtId="0" fontId="23" fillId="0" borderId="0" xfId="0" applyFont="1"/>
    <xf numFmtId="0" fontId="6" fillId="25" borderId="2" xfId="0" applyFont="1" applyFill="1" applyBorder="1"/>
    <xf numFmtId="0" fontId="6" fillId="19" borderId="2" xfId="0" applyFont="1" applyFill="1" applyBorder="1"/>
    <xf numFmtId="0" fontId="6" fillId="19" borderId="2" xfId="0" applyFont="1" applyFill="1" applyBorder="1" applyAlignment="1">
      <alignment horizontal="center"/>
    </xf>
    <xf numFmtId="0" fontId="6" fillId="27" borderId="2" xfId="0" applyFont="1" applyFill="1" applyBorder="1"/>
    <xf numFmtId="0" fontId="6" fillId="28" borderId="2" xfId="0" applyFont="1" applyFill="1" applyBorder="1"/>
    <xf numFmtId="0" fontId="6" fillId="28" borderId="2" xfId="0" applyFont="1" applyFill="1" applyBorder="1" applyAlignment="1">
      <alignment horizontal="center"/>
    </xf>
    <xf numFmtId="0" fontId="6" fillId="30" borderId="2" xfId="0" applyFont="1" applyFill="1" applyBorder="1"/>
    <xf numFmtId="0" fontId="6" fillId="0" borderId="2" xfId="0" applyFont="1" applyBorder="1"/>
    <xf numFmtId="0" fontId="6" fillId="23" borderId="2" xfId="0" applyFont="1" applyFill="1" applyBorder="1" applyAlignment="1">
      <alignment horizontal="center"/>
    </xf>
    <xf numFmtId="0" fontId="25" fillId="0" borderId="0" xfId="0" applyFont="1"/>
    <xf numFmtId="0" fontId="6" fillId="0" borderId="19" xfId="0" applyFont="1" applyBorder="1"/>
    <xf numFmtId="0" fontId="6" fillId="20" borderId="20" xfId="0" applyFont="1" applyFill="1" applyBorder="1"/>
    <xf numFmtId="0" fontId="0" fillId="0" borderId="19" xfId="0" applyBorder="1" applyAlignment="1">
      <alignment horizontal="center"/>
    </xf>
    <xf numFmtId="0" fontId="22" fillId="21" borderId="0" xfId="0" applyFont="1" applyFill="1" applyAlignment="1"/>
    <xf numFmtId="0" fontId="21" fillId="0" borderId="0" xfId="0" applyFont="1" applyAlignment="1"/>
    <xf numFmtId="0" fontId="24" fillId="18" borderId="0" xfId="0" applyFont="1" applyFill="1" applyAlignment="1"/>
    <xf numFmtId="0" fontId="0" fillId="18" borderId="0" xfId="0" applyFill="1" applyAlignment="1"/>
    <xf numFmtId="0" fontId="22" fillId="24" borderId="0" xfId="0" applyFont="1" applyFill="1" applyAlignment="1"/>
    <xf numFmtId="0" fontId="0" fillId="0" borderId="0" xfId="0" applyAlignment="1"/>
    <xf numFmtId="0" fontId="22" fillId="26" borderId="0" xfId="0" applyFont="1" applyFill="1" applyAlignment="1"/>
    <xf numFmtId="0" fontId="22" fillId="29" borderId="0" xfId="0" applyFont="1" applyFill="1" applyAlignment="1"/>
    <xf numFmtId="0" fontId="20" fillId="31" borderId="10" xfId="0" applyFont="1" applyFill="1" applyBorder="1" applyAlignment="1"/>
    <xf numFmtId="0" fontId="20" fillId="31" borderId="17" xfId="0" applyFont="1" applyFill="1" applyBorder="1" applyAlignment="1"/>
    <xf numFmtId="0" fontId="20" fillId="31" borderId="8" xfId="0" applyFont="1" applyFill="1" applyBorder="1" applyAlignment="1"/>
    <xf numFmtId="0" fontId="6" fillId="0" borderId="11" xfId="0" applyFont="1" applyBorder="1" applyAlignment="1"/>
    <xf numFmtId="0" fontId="0" fillId="0" borderId="0" xfId="0" applyBorder="1" applyAlignment="1"/>
    <xf numFmtId="0" fontId="0" fillId="0" borderId="18" xfId="0" applyBorder="1" applyAlignment="1"/>
    <xf numFmtId="0" fontId="0" fillId="0" borderId="11" xfId="0" applyBorder="1" applyAlignment="1"/>
    <xf numFmtId="0" fontId="0" fillId="0" borderId="5" xfId="0" applyBorder="1" applyAlignment="1"/>
    <xf numFmtId="0" fontId="0" fillId="0" borderId="16" xfId="0" applyBorder="1" applyAlignment="1"/>
    <xf numFmtId="0" fontId="0" fillId="0" borderId="3" xfId="0" applyBorder="1" applyAlignment="1"/>
    <xf numFmtId="0" fontId="6" fillId="32" borderId="2" xfId="0" applyFont="1" applyFill="1" applyBorder="1" applyAlignment="1"/>
    <xf numFmtId="0" fontId="6" fillId="32" borderId="0" xfId="0" applyFont="1" applyFill="1" applyAlignment="1"/>
  </cellXfs>
  <cellStyles count="6">
    <cellStyle name="60% - Accent3" xfId="5" builtinId="40"/>
    <cellStyle name="Bad" xfId="2" builtinId="27"/>
    <cellStyle name="Good" xfId="1" builtinId="26"/>
    <cellStyle name="Neutral" xfId="3" builtinId="28"/>
    <cellStyle name="Normal" xfId="0" builtinId="0"/>
    <cellStyle name="Output" xfId="4" builtinId="21"/>
  </cellStyles>
  <dxfs count="42">
    <dxf>
      <font>
        <strike val="0"/>
        <outline val="0"/>
        <shadow val="0"/>
        <u val="none"/>
        <vertAlign val="baseline"/>
        <sz val="11"/>
        <color auto="1"/>
        <name val="Aptos Display"/>
        <family val="2"/>
        <scheme val="maj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auto="1"/>
        <name val="Aptos Display"/>
        <family val="2"/>
        <scheme val="maj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fill>
        <patternFill patternType="solid">
          <fgColor indexed="64"/>
          <bgColor theme="0"/>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fill>
        <patternFill patternType="solid">
          <fgColor indexed="64"/>
          <bgColor theme="0"/>
        </patternFill>
      </fill>
      <alignment horizontal="left" vertical="top" textRotation="0" wrapText="1" indent="0" justifyLastLine="0" shrinkToFit="0" readingOrder="0"/>
    </dxf>
    <dxf>
      <alignment horizontal="left"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auto="1"/>
      </font>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font>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font>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font>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font>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font>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fill>
        <patternFill patternType="solid">
          <fgColor indexed="64"/>
          <bgColor theme="0"/>
        </patternFill>
      </fill>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fill>
        <patternFill patternType="solid">
          <fgColor indexed="64"/>
          <bgColor theme="0"/>
        </patternFill>
      </fill>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fill>
        <patternFill patternType="solid">
          <fgColor indexed="64"/>
          <bgColor theme="0"/>
        </patternFill>
      </fill>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fill>
        <patternFill patternType="solid">
          <fgColor indexed="64"/>
          <bgColor theme="0"/>
        </patternFill>
      </fill>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fill>
        <patternFill patternType="solid">
          <fgColor indexed="64"/>
          <bgColor theme="0"/>
        </patternFill>
      </fill>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fill>
        <patternFill patternType="solid">
          <fgColor indexed="64"/>
          <bgColor theme="0"/>
        </patternFill>
      </fill>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alignment horizontal="general" vertical="top" textRotation="0" indent="0" justifyLastLine="0" shrinkToFit="0" readingOrder="0"/>
    </dxf>
    <dxf>
      <font>
        <strike val="0"/>
        <outline val="0"/>
        <shadow val="0"/>
        <u val="none"/>
        <vertAlign val="baseline"/>
        <sz val="11"/>
        <color auto="1"/>
        <name val="Aptos Display"/>
        <family val="2"/>
        <scheme val="major"/>
      </font>
      <alignment horizontal="general" vertical="top" textRotation="0" wrapText="0" indent="0" justifyLastLine="0" shrinkToFit="0" readingOrder="0"/>
    </dxf>
    <dxf>
      <alignment horizontal="left" vertical="top" textRotation="0" indent="0" justifyLastLine="0" shrinkToFit="0" readingOrder="0"/>
    </dxf>
    <dxf>
      <alignment horizontal="left" vertical="top" textRotation="0" indent="0" justifyLastLine="0" shrinkToFit="0" readingOrder="0"/>
      <border diagonalUp="0" diagonalDown="0">
        <left style="thin">
          <color indexed="64"/>
        </left>
        <right/>
        <top style="thin">
          <color indexed="64"/>
        </top>
        <bottom style="thin">
          <color indexed="64"/>
        </bottom>
      </border>
    </dxf>
    <dxf>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fill>
        <patternFill>
          <fgColor indexed="64"/>
          <bgColor theme="0"/>
        </patternFill>
      </fill>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fill>
        <patternFill patternType="none">
          <fgColor indexed="64"/>
          <bgColor theme="0"/>
        </patternFill>
      </fill>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fill>
        <patternFill patternType="none">
          <fgColor indexed="64"/>
          <bgColor theme="0"/>
        </patternFill>
      </fill>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fill>
        <patternFill patternType="none">
          <fgColor indexed="64"/>
          <bgColor theme="0"/>
        </patternFill>
      </fill>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fill>
        <patternFill patternType="none">
          <fgColor indexed="64"/>
          <bgColor theme="0"/>
        </patternFill>
      </fill>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fill>
        <patternFill patternType="none">
          <fgColor indexed="64"/>
          <bgColor theme="0"/>
        </patternFill>
      </fill>
      <alignment horizontal="left" vertical="top"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Aptos Display"/>
        <family val="2"/>
        <scheme val="major"/>
      </font>
      <alignment horizontal="left" vertical="top" textRotation="0" indent="0" justifyLastLine="0" shrinkToFit="0" readingOrder="0"/>
    </dxf>
    <dxf>
      <font>
        <strike val="0"/>
        <outline val="0"/>
        <shadow val="0"/>
        <u val="none"/>
        <vertAlign val="baseline"/>
        <sz val="10"/>
        <color auto="1"/>
        <name val="Aptos Display"/>
        <family val="2"/>
        <scheme val="major"/>
      </font>
      <alignment horizontal="left"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A7B1"/>
      <color rgb="FFFFE1E5"/>
      <color rgb="FFFFE575"/>
      <color rgb="FFAEE8B9"/>
      <color rgb="FFECFAEF"/>
      <color rgb="FFFFF4C5"/>
      <color rgb="FFFFD10D"/>
      <color rgb="FFFF65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DE12AE-0320-471B-8996-3219DA75FD8C}" name="Table35" displayName="Table35" ref="A1:L12" totalsRowShown="0" headerRowDxfId="41" dataDxfId="40" headerRowBorderDxfId="38" tableBorderDxfId="39" totalsRowBorderDxfId="37">
  <autoFilter ref="A1:L12" xr:uid="{4CF0779A-393B-4F52-8A2D-02E5898567AF}"/>
  <sortState xmlns:xlrd2="http://schemas.microsoft.com/office/spreadsheetml/2017/richdata2" ref="A2:F12">
    <sortCondition ref="B1:B12"/>
  </sortState>
  <tableColumns count="12">
    <tableColumn id="1" xr3:uid="{BE7996A5-7FF4-4637-A567-232AEC15FA87}" name="# of ref." dataDxfId="36"/>
    <tableColumn id="2" xr3:uid="{FFD0BD28-15E1-4F7F-A172-2C17D83475E1}" name="Reference (n = 11)" dataDxfId="35"/>
    <tableColumn id="3" xr3:uid="{E91AF0BC-36A7-44F7-85EB-FE66F5323E4B}" name="CiteFairly_x000a_" dataDxfId="34"/>
    <tableColumn id="4" xr3:uid="{8D1CB1C8-F569-4A5C-A350-BEA42E312AB8}" name="Manual Comparisons (generate the % by hand)" dataDxfId="33"/>
    <tableColumn id="5" xr3:uid="{C3B868E3-407D-4E01-B5F5-C6ABD6F819CA}" name="Differences" dataDxfId="32"/>
    <tableColumn id="6" xr3:uid="{FCABF485-3C1B-4A63-B2C2-A76C646A6545}" name="Manual Comparisons DATA" dataDxfId="31"/>
    <tableColumn id="7" xr3:uid="{7A6CEC89-914C-46C6-A123-8AF6042EFF2F}" name="nationalize.io" dataDxfId="30" dataCellStyle="Good"/>
    <tableColumn id="8" xr3:uid="{B95CD719-2D41-48FA-AE58-7E35AC2DA6DE}" name="continent based" dataDxfId="29" dataCellStyle="Good"/>
    <tableColumn id="9" xr3:uid="{85984E8A-A5DD-49CC-83EC-CAA5F35462EB}" name="Asian authors" dataDxfId="28" dataCellStyle="Good"/>
    <tableColumn id="10" xr3:uid="{ED564D0D-B276-4DD8-9060-D55F2F3BBFE8}" name="non-Asian" dataDxfId="27" dataCellStyle="Good"/>
    <tableColumn id="11" xr3:uid="{275630FB-E3ED-4EB3-BEC9-061E1E4242CE}" name="Asian authors that were incorrectly classified" dataDxfId="26" dataCellStyle="Good"/>
    <tableColumn id="12" xr3:uid="{6F806D25-4A27-42E2-8BF5-0799DC06CCFB}" name="# of Asian authors that were incorrectly classified" dataDxfId="25" dataCellStyle="Good"/>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6345D3A-16C3-4838-953F-EDB7794FE2FE}" name="Table2" displayName="Table2" ref="A1:L19" totalsRowShown="0" headerRowDxfId="24" dataDxfId="23">
  <autoFilter ref="A1:L19" xr:uid="{86345D3A-16C3-4838-953F-EDB7794FE2FE}"/>
  <sortState xmlns:xlrd2="http://schemas.microsoft.com/office/spreadsheetml/2017/richdata2" ref="A2:F19">
    <sortCondition ref="B1:B19"/>
  </sortState>
  <tableColumns count="12">
    <tableColumn id="1" xr3:uid="{A6F09A93-CB12-4032-A33E-B021AE875E9A}" name="# of ref." dataDxfId="22"/>
    <tableColumn id="2" xr3:uid="{59F79F21-DF8B-4700-A2AB-E7041D90CEAB}" name="Reference (n = 18)" dataDxfId="21"/>
    <tableColumn id="3" xr3:uid="{B014B111-7A31-4F7B-B6ED-398F331DEB6A}" name="CiteFairly_x000a_" dataDxfId="20"/>
    <tableColumn id="4" xr3:uid="{5C0D8FF1-9FE1-437E-968E-D51FBCE2DEDE}" name="Manual Comparisons (generate the % by hand)" dataDxfId="19"/>
    <tableColumn id="5" xr3:uid="{4BE1681B-50A7-4F0D-884E-2C4A14D8D8D1}" name="Differences" dataDxfId="18"/>
    <tableColumn id="6" xr3:uid="{92B64C02-24CE-47E4-8620-778C57EDA556}" name="Manual Comparisons DATA" dataDxfId="17"/>
    <tableColumn id="7" xr3:uid="{FE9F9332-68B9-4FAD-87DE-C47DE97FEE26}" name="nationalize.io" dataDxfId="16" dataCellStyle="Good"/>
    <tableColumn id="8" xr3:uid="{1EAB9616-F4D8-4D81-B6A3-12398CF65198}" name="continent based" dataDxfId="15" dataCellStyle="Good"/>
    <tableColumn id="9" xr3:uid="{D91EDDDA-3A4B-46FB-A78F-6E2204D33F44}" name="Asian authors" dataDxfId="14" dataCellStyle="Good"/>
    <tableColumn id="10" xr3:uid="{E18A7EEF-F5F0-462D-B7B6-9FCBD922E6C4}" name="non-Asian" dataDxfId="13" dataCellStyle="Good"/>
    <tableColumn id="11" xr3:uid="{AD63FE52-49C2-4000-9AA4-4C616F324879}" name="Asian authors that were incorrectly classified" dataDxfId="12" dataCellStyle="Good"/>
    <tableColumn id="12" xr3:uid="{7409F200-8842-40F2-8C84-5EEB5C30418E}" name="# of Asian authors that were incorrectly classified" dataDxfId="11" dataCellStyle="Good"/>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8E95D9-F160-4261-BB51-37B9BE8962B8}" name="Table1" displayName="Table1" ref="A1:F27" totalsRowShown="0" headerRowDxfId="10" dataDxfId="9" headerRowBorderDxfId="7" tableBorderDxfId="8" totalsRowBorderDxfId="6" headerRowCellStyle="Output">
  <autoFilter ref="A1:F27" xr:uid="{D98E95D9-F160-4261-BB51-37B9BE8962B8}"/>
  <sortState xmlns:xlrd2="http://schemas.microsoft.com/office/spreadsheetml/2017/richdata2" ref="A2:F27">
    <sortCondition ref="B1:B27"/>
  </sortState>
  <tableColumns count="6">
    <tableColumn id="1" xr3:uid="{149B18DB-6657-4BFB-A2D9-B349B0273900}" name="# of ref." dataDxfId="5"/>
    <tableColumn id="2" xr3:uid="{CD05F092-1C10-440B-922E-B20841AD2CA2}" name="Reference (n = 26)" dataDxfId="4"/>
    <tableColumn id="3" xr3:uid="{B2EAE051-3BFA-420F-9671-833DED866756}" name="CiteFairly_x000a_" dataDxfId="3"/>
    <tableColumn id="4" xr3:uid="{7FA73318-AC0B-4377-A510-5678E44E4568}" name="Manual Comparisons (generate the % by hand)" dataDxfId="2"/>
    <tableColumn id="5" xr3:uid="{0A25736B-3FEA-4210-8996-E8AB5A581348}" name="Differences" dataDxfId="1"/>
    <tableColumn id="6" xr3:uid="{98CEB819-905D-4674-95C3-FB975B54C40F}" name="Manual Comparisons DAT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CA8BA-9E59-4E28-A516-1A4203AEC44A}">
  <dimension ref="A1:L100"/>
  <sheetViews>
    <sheetView zoomScale="50" zoomScaleNormal="50" workbookViewId="0">
      <selection activeCell="F13" sqref="A13:F100"/>
    </sheetView>
  </sheetViews>
  <sheetFormatPr defaultColWidth="8.7109375" defaultRowHeight="12.95"/>
  <cols>
    <col min="1" max="1" width="13.85546875" style="22" bestFit="1" customWidth="1"/>
    <col min="2" max="2" width="47.7109375" style="22" bestFit="1" customWidth="1"/>
    <col min="3" max="3" width="28.5703125" style="22" bestFit="1" customWidth="1"/>
    <col min="4" max="4" width="54.140625" style="22" bestFit="1" customWidth="1"/>
    <col min="5" max="5" width="39.42578125" style="22" bestFit="1" customWidth="1"/>
    <col min="6" max="6" width="27.7109375" style="22" bestFit="1" customWidth="1"/>
    <col min="7" max="7" width="21.5703125" style="23" bestFit="1" customWidth="1"/>
    <col min="8" max="8" width="39.140625" style="23" bestFit="1" customWidth="1"/>
    <col min="9" max="9" width="36.28515625" style="12" bestFit="1" customWidth="1"/>
    <col min="10" max="10" width="34.42578125" style="12" bestFit="1" customWidth="1"/>
    <col min="11" max="11" width="58.140625" style="12" bestFit="1" customWidth="1"/>
    <col min="12" max="12" width="63.42578125" style="24" bestFit="1" customWidth="1"/>
    <col min="13" max="16384" width="8.7109375" style="12"/>
  </cols>
  <sheetData>
    <row r="1" spans="1:12" ht="26.1">
      <c r="A1" s="20" t="s">
        <v>0</v>
      </c>
      <c r="B1" s="20" t="s">
        <v>1</v>
      </c>
      <c r="C1" s="21" t="s">
        <v>2</v>
      </c>
      <c r="D1" s="20" t="s">
        <v>3</v>
      </c>
      <c r="E1" s="20" t="s">
        <v>4</v>
      </c>
      <c r="F1" s="21" t="s">
        <v>5</v>
      </c>
      <c r="G1" s="31" t="s">
        <v>6</v>
      </c>
      <c r="H1" s="31" t="s">
        <v>7</v>
      </c>
      <c r="I1" s="31" t="s">
        <v>8</v>
      </c>
      <c r="J1" s="31" t="s">
        <v>9</v>
      </c>
      <c r="K1" s="32" t="s">
        <v>10</v>
      </c>
      <c r="L1" s="31" t="s">
        <v>11</v>
      </c>
    </row>
    <row r="2" spans="1:12" ht="409.5">
      <c r="A2" s="13">
        <v>29</v>
      </c>
      <c r="B2" s="14" t="s">
        <v>12</v>
      </c>
      <c r="C2" s="15" t="s">
        <v>13</v>
      </c>
      <c r="D2" s="15" t="s">
        <v>14</v>
      </c>
      <c r="E2" s="15" t="s">
        <v>15</v>
      </c>
      <c r="F2" s="15" t="s">
        <v>16</v>
      </c>
      <c r="G2" s="3" t="s">
        <v>17</v>
      </c>
      <c r="H2" s="3" t="s">
        <v>18</v>
      </c>
      <c r="I2" s="3" t="s">
        <v>19</v>
      </c>
      <c r="J2" s="3" t="s">
        <v>20</v>
      </c>
      <c r="K2" s="4" t="s">
        <v>21</v>
      </c>
      <c r="L2" s="4" t="s">
        <v>22</v>
      </c>
    </row>
    <row r="3" spans="1:12" ht="409.5">
      <c r="A3" s="13">
        <v>24</v>
      </c>
      <c r="B3" s="15" t="s">
        <v>23</v>
      </c>
      <c r="C3" s="15" t="s">
        <v>24</v>
      </c>
      <c r="D3" s="15" t="s">
        <v>25</v>
      </c>
      <c r="E3" s="15" t="s">
        <v>26</v>
      </c>
      <c r="F3" s="15" t="s">
        <v>27</v>
      </c>
      <c r="G3" s="3" t="s">
        <v>28</v>
      </c>
      <c r="H3" s="3" t="s">
        <v>29</v>
      </c>
      <c r="I3" s="3" t="s">
        <v>30</v>
      </c>
      <c r="J3" s="3" t="s">
        <v>31</v>
      </c>
      <c r="K3" s="4"/>
      <c r="L3" s="4" t="s">
        <v>32</v>
      </c>
    </row>
    <row r="4" spans="1:12" ht="409.5">
      <c r="A4" s="13">
        <v>28</v>
      </c>
      <c r="B4" s="15" t="s">
        <v>33</v>
      </c>
      <c r="C4" s="15" t="s">
        <v>34</v>
      </c>
      <c r="D4" s="15" t="s">
        <v>35</v>
      </c>
      <c r="E4" s="14" t="s">
        <v>36</v>
      </c>
      <c r="F4" s="15" t="s">
        <v>37</v>
      </c>
      <c r="G4" s="3" t="s">
        <v>38</v>
      </c>
      <c r="H4" s="3" t="s">
        <v>39</v>
      </c>
      <c r="I4" s="3" t="s">
        <v>40</v>
      </c>
      <c r="J4" s="3" t="s">
        <v>41</v>
      </c>
      <c r="K4" s="4" t="s">
        <v>42</v>
      </c>
      <c r="L4" s="4" t="s">
        <v>43</v>
      </c>
    </row>
    <row r="5" spans="1:12" ht="409.5">
      <c r="A5" s="13">
        <v>34</v>
      </c>
      <c r="B5" s="14" t="s">
        <v>44</v>
      </c>
      <c r="C5" s="15" t="s">
        <v>45</v>
      </c>
      <c r="D5" s="15" t="s">
        <v>46</v>
      </c>
      <c r="E5" s="15" t="s">
        <v>47</v>
      </c>
      <c r="F5" s="15" t="s">
        <v>48</v>
      </c>
      <c r="G5" s="3" t="s">
        <v>49</v>
      </c>
      <c r="H5" s="3" t="s">
        <v>50</v>
      </c>
      <c r="I5" s="3" t="s">
        <v>51</v>
      </c>
      <c r="J5" s="3" t="s">
        <v>52</v>
      </c>
      <c r="K5" s="4"/>
      <c r="L5" s="4" t="s">
        <v>32</v>
      </c>
    </row>
    <row r="6" spans="1:12" ht="409.5">
      <c r="A6" s="13">
        <v>50</v>
      </c>
      <c r="B6" s="15" t="s">
        <v>53</v>
      </c>
      <c r="C6" s="15" t="s">
        <v>54</v>
      </c>
      <c r="D6" s="15" t="s">
        <v>55</v>
      </c>
      <c r="E6" s="15" t="s">
        <v>56</v>
      </c>
      <c r="F6" s="15" t="s">
        <v>57</v>
      </c>
      <c r="G6" s="3" t="s">
        <v>58</v>
      </c>
      <c r="H6" s="3" t="s">
        <v>59</v>
      </c>
      <c r="I6" s="3" t="s">
        <v>60</v>
      </c>
      <c r="J6" s="3" t="s">
        <v>61</v>
      </c>
      <c r="K6" s="4" t="s">
        <v>62</v>
      </c>
      <c r="L6" s="4" t="s">
        <v>63</v>
      </c>
    </row>
    <row r="7" spans="1:12" ht="409.5">
      <c r="A7" s="13">
        <v>20</v>
      </c>
      <c r="B7" s="15" t="s">
        <v>64</v>
      </c>
      <c r="C7" s="15" t="s">
        <v>65</v>
      </c>
      <c r="D7" s="15" t="s">
        <v>66</v>
      </c>
      <c r="E7" s="14" t="s">
        <v>67</v>
      </c>
      <c r="F7" s="15" t="s">
        <v>68</v>
      </c>
      <c r="G7" s="3" t="s">
        <v>69</v>
      </c>
      <c r="H7" s="3" t="s">
        <v>70</v>
      </c>
      <c r="I7" s="3" t="s">
        <v>71</v>
      </c>
      <c r="J7" s="3" t="s">
        <v>72</v>
      </c>
      <c r="K7" s="4"/>
      <c r="L7" s="4" t="s">
        <v>32</v>
      </c>
    </row>
    <row r="8" spans="1:12" ht="409.5">
      <c r="A8" s="13">
        <v>43</v>
      </c>
      <c r="B8" s="14" t="s">
        <v>73</v>
      </c>
      <c r="C8" s="15" t="s">
        <v>74</v>
      </c>
      <c r="D8" s="15" t="s">
        <v>75</v>
      </c>
      <c r="E8" s="14" t="s">
        <v>76</v>
      </c>
      <c r="F8" s="15" t="s">
        <v>77</v>
      </c>
      <c r="G8" s="3" t="s">
        <v>78</v>
      </c>
      <c r="H8" s="3" t="s">
        <v>79</v>
      </c>
      <c r="I8" s="3" t="s">
        <v>80</v>
      </c>
      <c r="J8" s="3" t="s">
        <v>81</v>
      </c>
      <c r="K8" s="4"/>
      <c r="L8" s="4" t="s">
        <v>32</v>
      </c>
    </row>
    <row r="9" spans="1:12" ht="409.5">
      <c r="A9" s="13">
        <v>32</v>
      </c>
      <c r="B9" s="15" t="s">
        <v>82</v>
      </c>
      <c r="C9" s="15" t="s">
        <v>83</v>
      </c>
      <c r="D9" s="15" t="s">
        <v>84</v>
      </c>
      <c r="E9" s="15" t="s">
        <v>85</v>
      </c>
      <c r="F9" s="15" t="s">
        <v>86</v>
      </c>
      <c r="G9" s="3" t="s">
        <v>87</v>
      </c>
      <c r="H9" s="3" t="s">
        <v>88</v>
      </c>
      <c r="I9" s="3" t="s">
        <v>89</v>
      </c>
      <c r="J9" s="3" t="s">
        <v>90</v>
      </c>
      <c r="K9" s="3" t="s">
        <v>91</v>
      </c>
      <c r="L9" s="4" t="s">
        <v>92</v>
      </c>
    </row>
    <row r="10" spans="1:12" ht="409.5">
      <c r="A10" s="13">
        <v>27</v>
      </c>
      <c r="B10" s="15" t="s">
        <v>93</v>
      </c>
      <c r="C10" s="15" t="s">
        <v>94</v>
      </c>
      <c r="D10" s="15" t="s">
        <v>95</v>
      </c>
      <c r="E10" s="15" t="s">
        <v>96</v>
      </c>
      <c r="F10" s="15" t="s">
        <v>97</v>
      </c>
      <c r="G10" s="3" t="s">
        <v>98</v>
      </c>
      <c r="H10" s="3" t="s">
        <v>99</v>
      </c>
      <c r="I10" s="3" t="s">
        <v>100</v>
      </c>
      <c r="J10" s="3" t="s">
        <v>101</v>
      </c>
      <c r="K10" s="4"/>
      <c r="L10" s="4" t="s">
        <v>102</v>
      </c>
    </row>
    <row r="11" spans="1:12" ht="159.6">
      <c r="A11" s="13">
        <v>5</v>
      </c>
      <c r="B11" s="14" t="s">
        <v>103</v>
      </c>
      <c r="C11" s="15" t="s">
        <v>104</v>
      </c>
      <c r="D11" s="15" t="s">
        <v>105</v>
      </c>
      <c r="E11" s="14" t="s">
        <v>106</v>
      </c>
      <c r="F11" s="15" t="s">
        <v>107</v>
      </c>
      <c r="G11" s="3" t="s">
        <v>108</v>
      </c>
      <c r="H11" s="3" t="s">
        <v>109</v>
      </c>
      <c r="I11" s="4" t="s">
        <v>110</v>
      </c>
      <c r="J11" s="3" t="s">
        <v>111</v>
      </c>
      <c r="K11" s="4"/>
      <c r="L11" s="4" t="s">
        <v>112</v>
      </c>
    </row>
    <row r="12" spans="1:12" ht="409.5">
      <c r="A12" s="16">
        <v>29</v>
      </c>
      <c r="B12" s="17" t="s">
        <v>113</v>
      </c>
      <c r="C12" s="18" t="s">
        <v>114</v>
      </c>
      <c r="D12" s="18" t="s">
        <v>115</v>
      </c>
      <c r="E12" s="18" t="s">
        <v>116</v>
      </c>
      <c r="F12" s="18" t="s">
        <v>117</v>
      </c>
      <c r="G12" s="5" t="s">
        <v>118</v>
      </c>
      <c r="H12" s="5" t="s">
        <v>119</v>
      </c>
      <c r="I12" s="5" t="s">
        <v>120</v>
      </c>
      <c r="J12" s="5" t="s">
        <v>121</v>
      </c>
      <c r="K12" s="3" t="s">
        <v>122</v>
      </c>
      <c r="L12" s="4" t="s">
        <v>123</v>
      </c>
    </row>
    <row r="13" spans="1:12">
      <c r="A13" s="23"/>
      <c r="B13" s="23"/>
      <c r="C13" s="23"/>
      <c r="D13" s="23"/>
      <c r="E13" s="23"/>
      <c r="F13" s="23"/>
    </row>
    <row r="14" spans="1:12">
      <c r="A14" s="23"/>
      <c r="B14" s="23"/>
      <c r="C14" s="23"/>
      <c r="D14" s="23"/>
      <c r="E14" s="23"/>
      <c r="F14" s="23"/>
    </row>
    <row r="15" spans="1:12">
      <c r="A15" s="23"/>
      <c r="B15" s="23"/>
      <c r="C15" s="23"/>
      <c r="D15" s="23"/>
      <c r="E15" s="23"/>
      <c r="F15" s="23"/>
    </row>
    <row r="16" spans="1:12">
      <c r="A16" s="23"/>
      <c r="B16" s="23"/>
      <c r="C16" s="23"/>
      <c r="D16" s="23"/>
      <c r="E16" s="23"/>
      <c r="F16" s="23"/>
    </row>
    <row r="17" spans="1:6">
      <c r="A17" s="23"/>
      <c r="B17" s="23"/>
      <c r="C17" s="23"/>
      <c r="D17" s="23"/>
      <c r="E17" s="23"/>
      <c r="F17" s="23"/>
    </row>
    <row r="18" spans="1:6">
      <c r="A18" s="23"/>
      <c r="B18" s="23"/>
      <c r="C18" s="23"/>
      <c r="D18" s="23"/>
      <c r="E18" s="23"/>
      <c r="F18" s="23"/>
    </row>
    <row r="19" spans="1:6">
      <c r="A19" s="23"/>
      <c r="B19" s="23"/>
      <c r="C19" s="23"/>
      <c r="D19" s="23"/>
      <c r="E19" s="23"/>
      <c r="F19" s="23"/>
    </row>
    <row r="20" spans="1:6">
      <c r="A20" s="23"/>
      <c r="B20" s="23"/>
      <c r="C20" s="23"/>
      <c r="D20" s="23"/>
      <c r="E20" s="23"/>
      <c r="F20" s="23"/>
    </row>
    <row r="21" spans="1:6">
      <c r="A21" s="23"/>
      <c r="B21" s="23"/>
      <c r="C21" s="23"/>
      <c r="D21" s="23"/>
      <c r="E21" s="23"/>
      <c r="F21" s="23"/>
    </row>
    <row r="22" spans="1:6">
      <c r="A22" s="23"/>
      <c r="B22" s="23"/>
      <c r="C22" s="23"/>
      <c r="D22" s="23"/>
      <c r="E22" s="23"/>
      <c r="F22" s="23"/>
    </row>
    <row r="23" spans="1:6">
      <c r="A23" s="23"/>
      <c r="B23" s="23"/>
      <c r="C23" s="23"/>
      <c r="D23" s="23"/>
      <c r="E23" s="23"/>
      <c r="F23" s="23"/>
    </row>
    <row r="24" spans="1:6">
      <c r="A24" s="23"/>
      <c r="B24" s="23"/>
      <c r="C24" s="23"/>
      <c r="D24" s="23"/>
      <c r="E24" s="23"/>
      <c r="F24" s="23"/>
    </row>
    <row r="25" spans="1:6">
      <c r="A25" s="23"/>
      <c r="B25" s="23"/>
      <c r="C25" s="23"/>
      <c r="D25" s="23"/>
      <c r="E25" s="23"/>
      <c r="F25" s="23"/>
    </row>
    <row r="26" spans="1:6">
      <c r="A26" s="23"/>
      <c r="B26" s="23"/>
      <c r="C26" s="23"/>
      <c r="D26" s="23"/>
      <c r="E26" s="23"/>
      <c r="F26" s="23"/>
    </row>
    <row r="27" spans="1:6">
      <c r="A27" s="23"/>
      <c r="B27" s="23"/>
      <c r="C27" s="23"/>
      <c r="D27" s="23"/>
      <c r="E27" s="23"/>
      <c r="F27" s="23"/>
    </row>
    <row r="28" spans="1:6">
      <c r="A28" s="23"/>
      <c r="B28" s="23"/>
      <c r="C28" s="23"/>
      <c r="D28" s="23"/>
      <c r="E28" s="23"/>
      <c r="F28" s="23"/>
    </row>
    <row r="29" spans="1:6">
      <c r="A29" s="23"/>
      <c r="B29" s="23"/>
      <c r="C29" s="23"/>
      <c r="D29" s="23"/>
      <c r="E29" s="23"/>
      <c r="F29" s="23"/>
    </row>
    <row r="30" spans="1:6">
      <c r="A30" s="23"/>
      <c r="B30" s="23"/>
      <c r="C30" s="23"/>
      <c r="D30" s="23"/>
      <c r="E30" s="23"/>
      <c r="F30" s="23"/>
    </row>
    <row r="31" spans="1:6">
      <c r="A31" s="23"/>
      <c r="B31" s="23"/>
      <c r="C31" s="23"/>
      <c r="D31" s="23"/>
      <c r="E31" s="23"/>
      <c r="F31" s="23"/>
    </row>
    <row r="32" spans="1:6">
      <c r="A32" s="23"/>
      <c r="B32" s="23"/>
      <c r="C32" s="23"/>
      <c r="D32" s="23"/>
      <c r="E32" s="23"/>
      <c r="F32" s="23"/>
    </row>
    <row r="33" spans="1:6">
      <c r="A33" s="23"/>
      <c r="B33" s="23"/>
      <c r="C33" s="23"/>
      <c r="D33" s="23"/>
      <c r="E33" s="23"/>
      <c r="F33" s="23"/>
    </row>
    <row r="34" spans="1:6">
      <c r="A34" s="23"/>
      <c r="B34" s="23"/>
      <c r="C34" s="23"/>
      <c r="D34" s="23"/>
      <c r="E34" s="23"/>
      <c r="F34" s="23"/>
    </row>
    <row r="35" spans="1:6">
      <c r="A35" s="23"/>
      <c r="B35" s="23"/>
      <c r="C35" s="23"/>
      <c r="D35" s="23"/>
      <c r="E35" s="23"/>
      <c r="F35" s="23"/>
    </row>
    <row r="36" spans="1:6">
      <c r="A36" s="23"/>
      <c r="B36" s="23"/>
      <c r="C36" s="23"/>
      <c r="D36" s="23"/>
      <c r="E36" s="23"/>
      <c r="F36" s="23"/>
    </row>
    <row r="37" spans="1:6">
      <c r="A37" s="23"/>
      <c r="B37" s="23"/>
      <c r="C37" s="23"/>
      <c r="D37" s="23"/>
      <c r="E37" s="23"/>
      <c r="F37" s="23"/>
    </row>
    <row r="38" spans="1:6">
      <c r="A38" s="23"/>
      <c r="B38" s="23"/>
      <c r="C38" s="23"/>
      <c r="D38" s="23"/>
      <c r="E38" s="23"/>
      <c r="F38" s="23"/>
    </row>
    <row r="39" spans="1:6">
      <c r="A39" s="23"/>
      <c r="B39" s="23"/>
      <c r="C39" s="23"/>
      <c r="D39" s="23"/>
      <c r="E39" s="23"/>
      <c r="F39" s="23"/>
    </row>
    <row r="40" spans="1:6">
      <c r="A40" s="23"/>
      <c r="B40" s="23"/>
      <c r="C40" s="23"/>
      <c r="D40" s="23"/>
      <c r="E40" s="23"/>
      <c r="F40" s="23"/>
    </row>
    <row r="41" spans="1:6">
      <c r="A41" s="23"/>
      <c r="B41" s="23"/>
      <c r="C41" s="23"/>
      <c r="D41" s="23"/>
      <c r="E41" s="23"/>
      <c r="F41" s="23"/>
    </row>
    <row r="42" spans="1:6">
      <c r="A42" s="23"/>
      <c r="B42" s="23"/>
      <c r="C42" s="23"/>
      <c r="D42" s="23"/>
      <c r="E42" s="23"/>
      <c r="F42" s="23"/>
    </row>
    <row r="43" spans="1:6">
      <c r="A43" s="23"/>
      <c r="B43" s="23"/>
      <c r="C43" s="23"/>
      <c r="D43" s="23"/>
      <c r="E43" s="23"/>
      <c r="F43" s="23"/>
    </row>
    <row r="44" spans="1:6">
      <c r="A44" s="23"/>
      <c r="B44" s="23"/>
      <c r="C44" s="23"/>
      <c r="D44" s="23"/>
      <c r="E44" s="23"/>
      <c r="F44" s="23"/>
    </row>
    <row r="45" spans="1:6">
      <c r="A45" s="23"/>
      <c r="B45" s="23"/>
      <c r="C45" s="23"/>
      <c r="D45" s="23"/>
      <c r="E45" s="23"/>
      <c r="F45" s="23"/>
    </row>
    <row r="46" spans="1:6">
      <c r="A46" s="23"/>
      <c r="B46" s="23"/>
      <c r="C46" s="23"/>
      <c r="D46" s="23"/>
      <c r="E46" s="23"/>
      <c r="F46" s="23"/>
    </row>
    <row r="47" spans="1:6">
      <c r="A47" s="23"/>
      <c r="B47" s="23"/>
      <c r="C47" s="23"/>
      <c r="D47" s="23"/>
      <c r="E47" s="23"/>
      <c r="F47" s="23"/>
    </row>
    <row r="48" spans="1:6">
      <c r="A48" s="23"/>
      <c r="B48" s="23"/>
      <c r="C48" s="23"/>
      <c r="D48" s="23"/>
      <c r="E48" s="23"/>
      <c r="F48" s="23"/>
    </row>
    <row r="49" spans="1:6">
      <c r="A49" s="23"/>
      <c r="B49" s="23"/>
      <c r="C49" s="23"/>
      <c r="D49" s="23"/>
      <c r="E49" s="23"/>
      <c r="F49" s="23"/>
    </row>
    <row r="50" spans="1:6">
      <c r="A50" s="23"/>
      <c r="B50" s="23"/>
      <c r="C50" s="23"/>
      <c r="D50" s="23"/>
      <c r="E50" s="23"/>
      <c r="F50" s="23"/>
    </row>
    <row r="51" spans="1:6">
      <c r="A51" s="23"/>
      <c r="B51" s="23"/>
      <c r="C51" s="23"/>
      <c r="D51" s="23"/>
      <c r="E51" s="23"/>
      <c r="F51" s="23"/>
    </row>
    <row r="52" spans="1:6">
      <c r="A52" s="23"/>
      <c r="B52" s="23"/>
      <c r="C52" s="23"/>
      <c r="D52" s="23"/>
      <c r="E52" s="23"/>
      <c r="F52" s="23"/>
    </row>
    <row r="53" spans="1:6">
      <c r="A53" s="23"/>
      <c r="B53" s="23"/>
      <c r="C53" s="23"/>
      <c r="D53" s="23"/>
      <c r="E53" s="23"/>
      <c r="F53" s="23"/>
    </row>
    <row r="54" spans="1:6">
      <c r="A54" s="23"/>
      <c r="B54" s="23"/>
      <c r="C54" s="23"/>
      <c r="D54" s="23"/>
      <c r="E54" s="23"/>
      <c r="F54" s="23"/>
    </row>
    <row r="55" spans="1:6">
      <c r="A55" s="23"/>
      <c r="B55" s="23"/>
      <c r="C55" s="23"/>
      <c r="D55" s="23"/>
      <c r="E55" s="23"/>
      <c r="F55" s="23"/>
    </row>
    <row r="56" spans="1:6">
      <c r="A56" s="23"/>
      <c r="B56" s="23"/>
      <c r="C56" s="23"/>
      <c r="D56" s="23"/>
      <c r="E56" s="23"/>
      <c r="F56" s="23"/>
    </row>
    <row r="57" spans="1:6">
      <c r="A57" s="23"/>
      <c r="B57" s="23"/>
      <c r="C57" s="23"/>
      <c r="D57" s="23"/>
      <c r="E57" s="23"/>
      <c r="F57" s="23"/>
    </row>
    <row r="58" spans="1:6">
      <c r="A58" s="23"/>
      <c r="B58" s="23"/>
      <c r="C58" s="23"/>
      <c r="D58" s="23"/>
      <c r="E58" s="23"/>
      <c r="F58" s="23"/>
    </row>
    <row r="59" spans="1:6">
      <c r="A59" s="23"/>
      <c r="B59" s="23"/>
      <c r="C59" s="23"/>
      <c r="D59" s="23"/>
      <c r="E59" s="23"/>
      <c r="F59" s="23"/>
    </row>
    <row r="60" spans="1:6">
      <c r="A60" s="23"/>
      <c r="B60" s="23"/>
      <c r="C60" s="23"/>
      <c r="D60" s="23"/>
      <c r="E60" s="23"/>
      <c r="F60" s="23"/>
    </row>
    <row r="61" spans="1:6">
      <c r="A61" s="23"/>
      <c r="B61" s="23"/>
      <c r="C61" s="23"/>
      <c r="D61" s="23"/>
      <c r="E61" s="23"/>
      <c r="F61" s="23"/>
    </row>
    <row r="62" spans="1:6">
      <c r="A62" s="23"/>
      <c r="B62" s="23"/>
      <c r="C62" s="23"/>
      <c r="D62" s="23"/>
      <c r="E62" s="23"/>
      <c r="F62" s="23"/>
    </row>
    <row r="63" spans="1:6">
      <c r="A63" s="23"/>
      <c r="B63" s="23"/>
      <c r="C63" s="23"/>
      <c r="D63" s="23"/>
      <c r="E63" s="23"/>
      <c r="F63" s="23"/>
    </row>
    <row r="64" spans="1:6">
      <c r="A64" s="23"/>
      <c r="B64" s="23"/>
      <c r="C64" s="23"/>
      <c r="D64" s="23"/>
      <c r="E64" s="23"/>
      <c r="F64" s="23"/>
    </row>
    <row r="65" spans="1:6">
      <c r="A65" s="23"/>
      <c r="B65" s="23"/>
      <c r="C65" s="23"/>
      <c r="D65" s="23"/>
      <c r="E65" s="23"/>
      <c r="F65" s="23"/>
    </row>
    <row r="66" spans="1:6">
      <c r="A66" s="23"/>
      <c r="B66" s="23"/>
      <c r="C66" s="23"/>
      <c r="D66" s="23"/>
      <c r="E66" s="23"/>
      <c r="F66" s="23"/>
    </row>
    <row r="67" spans="1:6">
      <c r="A67" s="23"/>
      <c r="B67" s="23"/>
      <c r="C67" s="23"/>
      <c r="D67" s="23"/>
      <c r="E67" s="23"/>
      <c r="F67" s="23"/>
    </row>
    <row r="68" spans="1:6">
      <c r="A68" s="23"/>
      <c r="B68" s="23"/>
      <c r="C68" s="23"/>
      <c r="D68" s="23"/>
      <c r="E68" s="23"/>
      <c r="F68" s="23"/>
    </row>
    <row r="69" spans="1:6">
      <c r="A69" s="23"/>
      <c r="B69" s="23"/>
      <c r="C69" s="23"/>
      <c r="D69" s="23"/>
      <c r="E69" s="23"/>
      <c r="F69" s="23"/>
    </row>
    <row r="70" spans="1:6">
      <c r="A70" s="23"/>
      <c r="B70" s="23"/>
      <c r="C70" s="23"/>
      <c r="D70" s="23"/>
      <c r="E70" s="23"/>
      <c r="F70" s="23"/>
    </row>
    <row r="71" spans="1:6">
      <c r="A71" s="23"/>
      <c r="B71" s="23"/>
      <c r="C71" s="23"/>
      <c r="D71" s="23"/>
      <c r="E71" s="23"/>
      <c r="F71" s="23"/>
    </row>
    <row r="72" spans="1:6">
      <c r="A72" s="23"/>
      <c r="B72" s="23"/>
      <c r="C72" s="23"/>
      <c r="D72" s="23"/>
      <c r="E72" s="23"/>
      <c r="F72" s="23"/>
    </row>
    <row r="73" spans="1:6">
      <c r="A73" s="23"/>
      <c r="B73" s="23"/>
      <c r="C73" s="23"/>
      <c r="D73" s="23"/>
      <c r="E73" s="23"/>
      <c r="F73" s="23"/>
    </row>
    <row r="74" spans="1:6">
      <c r="A74" s="23"/>
      <c r="B74" s="23"/>
      <c r="C74" s="23"/>
      <c r="D74" s="23"/>
      <c r="E74" s="23"/>
      <c r="F74" s="23"/>
    </row>
    <row r="75" spans="1:6">
      <c r="A75" s="23"/>
      <c r="B75" s="23"/>
      <c r="C75" s="23"/>
      <c r="D75" s="23"/>
      <c r="E75" s="23"/>
      <c r="F75" s="23"/>
    </row>
    <row r="76" spans="1:6">
      <c r="A76" s="23"/>
      <c r="B76" s="23"/>
      <c r="C76" s="23"/>
      <c r="D76" s="23"/>
      <c r="E76" s="23"/>
      <c r="F76" s="23"/>
    </row>
    <row r="77" spans="1:6">
      <c r="A77" s="23"/>
      <c r="B77" s="23"/>
      <c r="C77" s="23"/>
      <c r="D77" s="23"/>
      <c r="E77" s="23"/>
      <c r="F77" s="23"/>
    </row>
    <row r="78" spans="1:6">
      <c r="A78" s="23"/>
      <c r="B78" s="23"/>
      <c r="C78" s="23"/>
      <c r="D78" s="23"/>
      <c r="E78" s="23"/>
      <c r="F78" s="23"/>
    </row>
    <row r="79" spans="1:6">
      <c r="A79" s="23"/>
      <c r="B79" s="23"/>
      <c r="C79" s="23"/>
      <c r="D79" s="23"/>
      <c r="E79" s="23"/>
      <c r="F79" s="23"/>
    </row>
    <row r="80" spans="1:6">
      <c r="A80" s="23"/>
      <c r="B80" s="23"/>
      <c r="C80" s="23"/>
      <c r="D80" s="23"/>
      <c r="E80" s="23"/>
      <c r="F80" s="23"/>
    </row>
    <row r="81" spans="1:6">
      <c r="A81" s="23"/>
      <c r="B81" s="23"/>
      <c r="C81" s="23"/>
      <c r="D81" s="23"/>
      <c r="E81" s="23"/>
      <c r="F81" s="23"/>
    </row>
    <row r="82" spans="1:6">
      <c r="A82" s="23"/>
      <c r="B82" s="23"/>
      <c r="C82" s="23"/>
      <c r="D82" s="23"/>
      <c r="E82" s="23"/>
      <c r="F82" s="23"/>
    </row>
    <row r="83" spans="1:6">
      <c r="A83" s="23"/>
      <c r="B83" s="23"/>
      <c r="C83" s="23"/>
      <c r="D83" s="23"/>
      <c r="E83" s="23"/>
      <c r="F83" s="23"/>
    </row>
    <row r="84" spans="1:6">
      <c r="A84" s="23"/>
      <c r="B84" s="23"/>
      <c r="C84" s="23"/>
      <c r="D84" s="23"/>
      <c r="E84" s="23"/>
      <c r="F84" s="23"/>
    </row>
    <row r="85" spans="1:6">
      <c r="A85" s="23"/>
      <c r="B85" s="23"/>
      <c r="C85" s="23"/>
      <c r="D85" s="23"/>
      <c r="E85" s="23"/>
      <c r="F85" s="23"/>
    </row>
    <row r="86" spans="1:6">
      <c r="A86" s="23"/>
      <c r="B86" s="23"/>
      <c r="C86" s="23"/>
      <c r="D86" s="23"/>
      <c r="E86" s="23"/>
      <c r="F86" s="23"/>
    </row>
    <row r="87" spans="1:6">
      <c r="A87" s="23"/>
      <c r="B87" s="23"/>
      <c r="C87" s="23"/>
      <c r="D87" s="23"/>
      <c r="E87" s="23"/>
      <c r="F87" s="23"/>
    </row>
    <row r="88" spans="1:6">
      <c r="A88" s="23"/>
      <c r="B88" s="23"/>
      <c r="C88" s="23"/>
      <c r="D88" s="23"/>
      <c r="E88" s="23"/>
      <c r="F88" s="23"/>
    </row>
    <row r="89" spans="1:6">
      <c r="A89" s="23"/>
      <c r="B89" s="23"/>
      <c r="C89" s="23"/>
      <c r="D89" s="23"/>
      <c r="E89" s="23"/>
      <c r="F89" s="23"/>
    </row>
    <row r="90" spans="1:6">
      <c r="A90" s="23"/>
      <c r="B90" s="23"/>
      <c r="C90" s="23"/>
      <c r="D90" s="23"/>
      <c r="E90" s="23"/>
      <c r="F90" s="23"/>
    </row>
    <row r="91" spans="1:6">
      <c r="A91" s="23"/>
      <c r="B91" s="23"/>
      <c r="C91" s="23"/>
      <c r="D91" s="23"/>
      <c r="E91" s="23"/>
      <c r="F91" s="23"/>
    </row>
    <row r="92" spans="1:6">
      <c r="A92" s="23"/>
      <c r="B92" s="23"/>
      <c r="C92" s="23"/>
      <c r="D92" s="23"/>
      <c r="E92" s="23"/>
      <c r="F92" s="23"/>
    </row>
    <row r="93" spans="1:6">
      <c r="A93" s="23"/>
      <c r="B93" s="23"/>
      <c r="C93" s="23"/>
      <c r="D93" s="23"/>
      <c r="E93" s="23"/>
      <c r="F93" s="23"/>
    </row>
    <row r="94" spans="1:6">
      <c r="A94" s="23"/>
      <c r="B94" s="23"/>
      <c r="C94" s="23"/>
      <c r="D94" s="23"/>
      <c r="E94" s="23"/>
      <c r="F94" s="23"/>
    </row>
    <row r="95" spans="1:6">
      <c r="A95" s="23"/>
      <c r="B95" s="23"/>
      <c r="C95" s="23"/>
      <c r="D95" s="23"/>
      <c r="E95" s="23"/>
      <c r="F95" s="23"/>
    </row>
    <row r="96" spans="1:6">
      <c r="A96" s="23"/>
      <c r="B96" s="23"/>
      <c r="C96" s="23"/>
      <c r="D96" s="23"/>
      <c r="E96" s="23"/>
      <c r="F96" s="23"/>
    </row>
    <row r="97" spans="1:6">
      <c r="A97" s="23"/>
      <c r="B97" s="23"/>
      <c r="C97" s="23"/>
      <c r="D97" s="23"/>
      <c r="E97" s="23"/>
      <c r="F97" s="23"/>
    </row>
    <row r="98" spans="1:6">
      <c r="A98" s="23"/>
      <c r="B98" s="23"/>
      <c r="C98" s="23"/>
      <c r="D98" s="23"/>
      <c r="E98" s="23"/>
      <c r="F98" s="23"/>
    </row>
    <row r="99" spans="1:6">
      <c r="A99" s="23"/>
      <c r="B99" s="23"/>
      <c r="C99" s="23"/>
      <c r="D99" s="23"/>
      <c r="E99" s="23"/>
      <c r="F99" s="23"/>
    </row>
    <row r="100" spans="1:6">
      <c r="A100" s="23"/>
      <c r="B100" s="23"/>
      <c r="C100" s="23"/>
      <c r="D100" s="23"/>
      <c r="E100" s="23"/>
      <c r="F100" s="23"/>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8531-727E-4B08-A4F4-C1F74587B687}">
  <dimension ref="A1:L19"/>
  <sheetViews>
    <sheetView topLeftCell="A19" zoomScale="50" zoomScaleNormal="50" workbookViewId="0">
      <selection activeCell="D4" sqref="D4"/>
    </sheetView>
  </sheetViews>
  <sheetFormatPr defaultColWidth="8.7109375" defaultRowHeight="14.45"/>
  <cols>
    <col min="1" max="1" width="16.85546875" style="19" bestFit="1" customWidth="1"/>
    <col min="2" max="2" width="55.140625" style="19" bestFit="1" customWidth="1"/>
    <col min="3" max="3" width="29.140625" style="19" bestFit="1" customWidth="1"/>
    <col min="4" max="4" width="62.85546875" style="19" bestFit="1" customWidth="1"/>
    <col min="5" max="5" width="39.85546875" style="19" bestFit="1" customWidth="1"/>
    <col min="6" max="6" width="41" style="19" bestFit="1" customWidth="1"/>
    <col min="7" max="7" width="38.140625" style="11" bestFit="1" customWidth="1"/>
    <col min="8" max="8" width="47.140625" style="11" bestFit="1" customWidth="1"/>
    <col min="9" max="9" width="29.28515625" style="11" bestFit="1" customWidth="1"/>
    <col min="10" max="10" width="37.140625" style="11" bestFit="1" customWidth="1"/>
    <col min="11" max="11" width="61.7109375" style="11" bestFit="1" customWidth="1"/>
    <col min="12" max="12" width="67.42578125" style="11" bestFit="1" customWidth="1"/>
    <col min="13" max="16384" width="8.7109375" style="11"/>
  </cols>
  <sheetData>
    <row r="1" spans="1:12" ht="29.1">
      <c r="A1" s="25" t="s">
        <v>0</v>
      </c>
      <c r="B1" s="25" t="s">
        <v>124</v>
      </c>
      <c r="C1" s="26" t="s">
        <v>2</v>
      </c>
      <c r="D1" s="25" t="s">
        <v>3</v>
      </c>
      <c r="E1" s="25" t="s">
        <v>4</v>
      </c>
      <c r="F1" s="26" t="s">
        <v>5</v>
      </c>
      <c r="G1" s="29" t="s">
        <v>6</v>
      </c>
      <c r="H1" s="29" t="s">
        <v>7</v>
      </c>
      <c r="I1" s="29" t="s">
        <v>8</v>
      </c>
      <c r="J1" s="29" t="s">
        <v>9</v>
      </c>
      <c r="K1" s="30" t="s">
        <v>10</v>
      </c>
      <c r="L1" s="29" t="s">
        <v>11</v>
      </c>
    </row>
    <row r="2" spans="1:12" ht="409.5">
      <c r="A2" s="27">
        <v>24</v>
      </c>
      <c r="B2" s="27" t="s">
        <v>125</v>
      </c>
      <c r="C2" s="28" t="s">
        <v>126</v>
      </c>
      <c r="D2" s="28" t="s">
        <v>127</v>
      </c>
      <c r="E2" s="28" t="s">
        <v>128</v>
      </c>
      <c r="F2" s="28" t="s">
        <v>129</v>
      </c>
      <c r="G2" s="9" t="s">
        <v>130</v>
      </c>
      <c r="H2" s="9" t="s">
        <v>131</v>
      </c>
      <c r="I2" s="9" t="s">
        <v>132</v>
      </c>
      <c r="J2" s="9" t="s">
        <v>133</v>
      </c>
      <c r="K2" s="10" t="s">
        <v>134</v>
      </c>
      <c r="L2" s="10" t="s">
        <v>22</v>
      </c>
    </row>
    <row r="3" spans="1:12" ht="409.5">
      <c r="A3" s="27">
        <v>56</v>
      </c>
      <c r="B3" s="27" t="s">
        <v>135</v>
      </c>
      <c r="C3" s="28" t="s">
        <v>136</v>
      </c>
      <c r="D3" s="28" t="s">
        <v>137</v>
      </c>
      <c r="E3" s="28" t="s">
        <v>138</v>
      </c>
      <c r="F3" s="28" t="s">
        <v>139</v>
      </c>
      <c r="G3" s="9" t="s">
        <v>140</v>
      </c>
      <c r="H3" s="9" t="s">
        <v>141</v>
      </c>
      <c r="I3" s="9" t="s">
        <v>142</v>
      </c>
      <c r="J3" s="9" t="s">
        <v>143</v>
      </c>
      <c r="K3" s="9" t="s">
        <v>144</v>
      </c>
      <c r="L3" s="10" t="s">
        <v>145</v>
      </c>
    </row>
    <row r="4" spans="1:12" ht="409.5">
      <c r="A4" s="27">
        <v>36</v>
      </c>
      <c r="B4" s="27" t="s">
        <v>146</v>
      </c>
      <c r="C4" s="28" t="s">
        <v>147</v>
      </c>
      <c r="D4" s="28" t="s">
        <v>148</v>
      </c>
      <c r="E4" s="28" t="s">
        <v>149</v>
      </c>
      <c r="F4" s="28" t="s">
        <v>150</v>
      </c>
      <c r="G4" s="9" t="s">
        <v>151</v>
      </c>
      <c r="H4" s="9" t="s">
        <v>152</v>
      </c>
      <c r="I4" s="9" t="s">
        <v>153</v>
      </c>
      <c r="J4" s="9" t="s">
        <v>154</v>
      </c>
      <c r="K4" s="9" t="s">
        <v>155</v>
      </c>
      <c r="L4" s="10" t="s">
        <v>156</v>
      </c>
    </row>
    <row r="5" spans="1:12" ht="409.5">
      <c r="A5" s="27">
        <v>8</v>
      </c>
      <c r="B5" s="27" t="s">
        <v>157</v>
      </c>
      <c r="C5" s="28" t="s">
        <v>158</v>
      </c>
      <c r="D5" s="28" t="s">
        <v>159</v>
      </c>
      <c r="E5" s="28" t="s">
        <v>160</v>
      </c>
      <c r="F5" s="28" t="s">
        <v>161</v>
      </c>
      <c r="G5" s="9" t="s">
        <v>162</v>
      </c>
      <c r="H5" s="9" t="s">
        <v>163</v>
      </c>
      <c r="I5" s="9" t="s">
        <v>164</v>
      </c>
      <c r="J5" s="9" t="s">
        <v>165</v>
      </c>
      <c r="K5" s="9" t="s">
        <v>166</v>
      </c>
      <c r="L5" s="10" t="s">
        <v>167</v>
      </c>
    </row>
    <row r="6" spans="1:12" ht="72.599999999999994">
      <c r="A6" s="27">
        <v>2</v>
      </c>
      <c r="B6" s="27" t="s">
        <v>168</v>
      </c>
      <c r="C6" s="28" t="s">
        <v>169</v>
      </c>
      <c r="D6" s="28" t="s">
        <v>170</v>
      </c>
      <c r="E6" s="27" t="s">
        <v>106</v>
      </c>
      <c r="F6" s="28" t="s">
        <v>171</v>
      </c>
      <c r="G6" s="9" t="s">
        <v>172</v>
      </c>
      <c r="H6" s="9" t="s">
        <v>173</v>
      </c>
      <c r="I6" s="10"/>
      <c r="J6" s="9" t="s">
        <v>174</v>
      </c>
      <c r="K6" s="10"/>
      <c r="L6" s="10" t="s">
        <v>112</v>
      </c>
    </row>
    <row r="7" spans="1:12" ht="409.5">
      <c r="A7" s="27">
        <v>17</v>
      </c>
      <c r="B7" s="27" t="s">
        <v>175</v>
      </c>
      <c r="C7" s="28" t="s">
        <v>176</v>
      </c>
      <c r="D7" s="28" t="s">
        <v>177</v>
      </c>
      <c r="E7" s="28" t="s">
        <v>178</v>
      </c>
      <c r="F7" s="28" t="s">
        <v>179</v>
      </c>
      <c r="G7" s="9" t="s">
        <v>180</v>
      </c>
      <c r="H7" s="9" t="s">
        <v>181</v>
      </c>
      <c r="I7" s="9" t="s">
        <v>182</v>
      </c>
      <c r="J7" s="9" t="s">
        <v>183</v>
      </c>
      <c r="K7" s="9" t="s">
        <v>184</v>
      </c>
      <c r="L7" s="10" t="s">
        <v>123</v>
      </c>
    </row>
    <row r="8" spans="1:12" ht="409.5">
      <c r="A8" s="27">
        <v>46</v>
      </c>
      <c r="B8" s="27" t="s">
        <v>185</v>
      </c>
      <c r="C8" s="28" t="s">
        <v>186</v>
      </c>
      <c r="D8" s="28" t="s">
        <v>187</v>
      </c>
      <c r="E8" s="28" t="s">
        <v>188</v>
      </c>
      <c r="F8" s="28" t="s">
        <v>189</v>
      </c>
      <c r="G8" s="9" t="s">
        <v>190</v>
      </c>
      <c r="H8" s="9" t="s">
        <v>191</v>
      </c>
      <c r="I8" s="9" t="s">
        <v>192</v>
      </c>
      <c r="J8" s="9" t="s">
        <v>193</v>
      </c>
      <c r="K8" s="9" t="s">
        <v>194</v>
      </c>
      <c r="L8" s="10" t="s">
        <v>156</v>
      </c>
    </row>
    <row r="9" spans="1:12" ht="409.5">
      <c r="A9" s="27">
        <v>59</v>
      </c>
      <c r="B9" s="27" t="s">
        <v>195</v>
      </c>
      <c r="C9" s="28" t="s">
        <v>196</v>
      </c>
      <c r="D9" s="28" t="s">
        <v>197</v>
      </c>
      <c r="E9" s="28" t="s">
        <v>198</v>
      </c>
      <c r="F9" s="28" t="s">
        <v>199</v>
      </c>
      <c r="G9" s="9" t="s">
        <v>200</v>
      </c>
      <c r="H9" s="9" t="s">
        <v>201</v>
      </c>
      <c r="I9" s="9" t="s">
        <v>202</v>
      </c>
      <c r="J9" s="9" t="s">
        <v>203</v>
      </c>
      <c r="K9" s="9" t="s">
        <v>204</v>
      </c>
      <c r="L9" s="10" t="s">
        <v>205</v>
      </c>
    </row>
    <row r="10" spans="1:12" ht="409.5">
      <c r="A10" s="27">
        <v>61</v>
      </c>
      <c r="B10" s="27" t="s">
        <v>206</v>
      </c>
      <c r="C10" s="28" t="s">
        <v>207</v>
      </c>
      <c r="D10" s="28" t="s">
        <v>208</v>
      </c>
      <c r="E10" s="28" t="s">
        <v>209</v>
      </c>
      <c r="F10" s="28" t="s">
        <v>210</v>
      </c>
      <c r="G10" s="9" t="s">
        <v>211</v>
      </c>
      <c r="H10" s="9" t="s">
        <v>212</v>
      </c>
      <c r="I10" s="9" t="s">
        <v>213</v>
      </c>
      <c r="J10" s="9" t="s">
        <v>214</v>
      </c>
      <c r="K10" s="9" t="s">
        <v>215</v>
      </c>
      <c r="L10" s="10" t="s">
        <v>216</v>
      </c>
    </row>
    <row r="11" spans="1:12" ht="275.45">
      <c r="A11" s="27">
        <v>7</v>
      </c>
      <c r="B11" s="27" t="s">
        <v>217</v>
      </c>
      <c r="C11" s="28" t="s">
        <v>218</v>
      </c>
      <c r="D11" s="28" t="s">
        <v>219</v>
      </c>
      <c r="E11" s="28" t="s">
        <v>220</v>
      </c>
      <c r="F11" s="28" t="s">
        <v>221</v>
      </c>
      <c r="G11" s="9" t="s">
        <v>222</v>
      </c>
      <c r="H11" s="9" t="s">
        <v>223</v>
      </c>
      <c r="I11" s="9" t="s">
        <v>224</v>
      </c>
      <c r="J11" s="9" t="s">
        <v>225</v>
      </c>
      <c r="K11" s="10"/>
      <c r="L11" s="10" t="s">
        <v>102</v>
      </c>
    </row>
    <row r="12" spans="1:12" ht="101.45">
      <c r="A12" s="27">
        <v>3</v>
      </c>
      <c r="B12" s="27" t="s">
        <v>226</v>
      </c>
      <c r="C12" s="28" t="s">
        <v>227</v>
      </c>
      <c r="D12" s="28" t="s">
        <v>228</v>
      </c>
      <c r="E12" s="27" t="s">
        <v>106</v>
      </c>
      <c r="F12" s="28" t="s">
        <v>229</v>
      </c>
      <c r="G12" s="9" t="s">
        <v>230</v>
      </c>
      <c r="H12" s="9" t="s">
        <v>231</v>
      </c>
      <c r="I12" s="9" t="s">
        <v>232</v>
      </c>
      <c r="J12" s="9" t="s">
        <v>233</v>
      </c>
      <c r="K12" s="10"/>
      <c r="L12" s="10" t="s">
        <v>112</v>
      </c>
    </row>
    <row r="13" spans="1:12" ht="409.5">
      <c r="A13" s="27">
        <v>56</v>
      </c>
      <c r="B13" s="27" t="s">
        <v>234</v>
      </c>
      <c r="C13" s="28" t="s">
        <v>235</v>
      </c>
      <c r="D13" s="28" t="s">
        <v>236</v>
      </c>
      <c r="E13" s="28" t="s">
        <v>237</v>
      </c>
      <c r="F13" s="28" t="s">
        <v>238</v>
      </c>
      <c r="G13" s="9" t="s">
        <v>239</v>
      </c>
      <c r="H13" s="9" t="s">
        <v>240</v>
      </c>
      <c r="I13" s="9" t="s">
        <v>241</v>
      </c>
      <c r="J13" s="9" t="s">
        <v>242</v>
      </c>
      <c r="K13" s="9" t="s">
        <v>243</v>
      </c>
      <c r="L13" s="10" t="s">
        <v>244</v>
      </c>
    </row>
    <row r="14" spans="1:12" ht="409.5">
      <c r="A14" s="27">
        <v>37</v>
      </c>
      <c r="B14" s="27" t="s">
        <v>245</v>
      </c>
      <c r="C14" s="28" t="s">
        <v>246</v>
      </c>
      <c r="D14" s="28" t="s">
        <v>247</v>
      </c>
      <c r="E14" s="28" t="s">
        <v>248</v>
      </c>
      <c r="F14" s="28" t="s">
        <v>249</v>
      </c>
      <c r="G14" s="9" t="s">
        <v>250</v>
      </c>
      <c r="H14" s="9" t="s">
        <v>251</v>
      </c>
      <c r="I14" s="9" t="s">
        <v>252</v>
      </c>
      <c r="J14" s="9" t="s">
        <v>253</v>
      </c>
      <c r="K14" s="9" t="s">
        <v>254</v>
      </c>
      <c r="L14" s="10" t="s">
        <v>255</v>
      </c>
    </row>
    <row r="15" spans="1:12" ht="409.5">
      <c r="A15" s="27">
        <v>24</v>
      </c>
      <c r="B15" s="27" t="s">
        <v>256</v>
      </c>
      <c r="C15" s="28" t="s">
        <v>257</v>
      </c>
      <c r="D15" s="28" t="s">
        <v>258</v>
      </c>
      <c r="E15" s="28" t="s">
        <v>259</v>
      </c>
      <c r="F15" s="28" t="s">
        <v>260</v>
      </c>
      <c r="G15" s="9" t="s">
        <v>261</v>
      </c>
      <c r="H15" s="9" t="s">
        <v>262</v>
      </c>
      <c r="I15" s="9" t="s">
        <v>263</v>
      </c>
      <c r="J15" s="9" t="s">
        <v>264</v>
      </c>
      <c r="K15" s="10"/>
      <c r="L15" s="10" t="s">
        <v>102</v>
      </c>
    </row>
    <row r="16" spans="1:12" ht="290.10000000000002">
      <c r="A16" s="27">
        <v>7</v>
      </c>
      <c r="B16" s="28" t="s">
        <v>265</v>
      </c>
      <c r="C16" s="28" t="s">
        <v>266</v>
      </c>
      <c r="D16" s="28" t="s">
        <v>267</v>
      </c>
      <c r="E16" s="27" t="s">
        <v>106</v>
      </c>
      <c r="F16" s="28" t="s">
        <v>268</v>
      </c>
      <c r="G16" s="9" t="s">
        <v>269</v>
      </c>
      <c r="H16" s="9" t="s">
        <v>270</v>
      </c>
      <c r="I16" s="10" t="s">
        <v>271</v>
      </c>
      <c r="J16" s="9" t="s">
        <v>272</v>
      </c>
      <c r="K16" s="10"/>
      <c r="L16" s="10" t="s">
        <v>112</v>
      </c>
    </row>
    <row r="17" spans="1:12" ht="409.5">
      <c r="A17" s="27">
        <v>14</v>
      </c>
      <c r="B17" s="27" t="s">
        <v>273</v>
      </c>
      <c r="C17" s="28" t="s">
        <v>274</v>
      </c>
      <c r="D17" s="28" t="s">
        <v>275</v>
      </c>
      <c r="E17" s="28" t="s">
        <v>276</v>
      </c>
      <c r="F17" s="28" t="s">
        <v>277</v>
      </c>
      <c r="G17" s="9" t="s">
        <v>278</v>
      </c>
      <c r="H17" s="9" t="s">
        <v>279</v>
      </c>
      <c r="I17" s="9" t="s">
        <v>280</v>
      </c>
      <c r="J17" s="9" t="s">
        <v>281</v>
      </c>
      <c r="K17" s="9" t="s">
        <v>282</v>
      </c>
      <c r="L17" s="10" t="s">
        <v>22</v>
      </c>
    </row>
    <row r="18" spans="1:12" ht="203.1">
      <c r="A18" s="27">
        <v>6</v>
      </c>
      <c r="B18" s="27" t="s">
        <v>283</v>
      </c>
      <c r="C18" s="28" t="s">
        <v>284</v>
      </c>
      <c r="D18" s="28" t="s">
        <v>285</v>
      </c>
      <c r="E18" s="27" t="s">
        <v>106</v>
      </c>
      <c r="F18" s="28" t="s">
        <v>286</v>
      </c>
      <c r="G18" s="9" t="s">
        <v>287</v>
      </c>
      <c r="H18" s="9" t="s">
        <v>288</v>
      </c>
      <c r="I18" s="9" t="s">
        <v>289</v>
      </c>
      <c r="J18" s="9" t="s">
        <v>290</v>
      </c>
      <c r="K18" s="10"/>
      <c r="L18" s="10" t="s">
        <v>112</v>
      </c>
    </row>
    <row r="19" spans="1:12" ht="409.5">
      <c r="A19" s="27">
        <v>10</v>
      </c>
      <c r="B19" s="27" t="s">
        <v>291</v>
      </c>
      <c r="C19" s="28" t="s">
        <v>292</v>
      </c>
      <c r="D19" s="28" t="s">
        <v>293</v>
      </c>
      <c r="E19" s="27" t="s">
        <v>106</v>
      </c>
      <c r="F19" s="28" t="s">
        <v>294</v>
      </c>
      <c r="G19" s="9" t="s">
        <v>295</v>
      </c>
      <c r="H19" s="9" t="s">
        <v>296</v>
      </c>
      <c r="I19" s="9" t="s">
        <v>297</v>
      </c>
      <c r="J19" s="9" t="s">
        <v>298</v>
      </c>
      <c r="K19" s="10"/>
      <c r="L19" s="10" t="s">
        <v>112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4AB8B-4B8B-4117-AF58-FDDB56FA595B}">
  <dimension ref="A1:L27"/>
  <sheetViews>
    <sheetView topLeftCell="E1" zoomScale="60" zoomScaleNormal="60" workbookViewId="0">
      <selection activeCell="F1" sqref="F1"/>
    </sheetView>
  </sheetViews>
  <sheetFormatPr defaultColWidth="8.7109375" defaultRowHeight="14.45"/>
  <cols>
    <col min="1" max="1" width="10.7109375" style="2" bestFit="1" customWidth="1"/>
    <col min="2" max="2" width="48.85546875" style="2" bestFit="1" customWidth="1"/>
    <col min="3" max="3" width="31.28515625" style="2" bestFit="1" customWidth="1"/>
    <col min="4" max="4" width="43.140625" style="2" bestFit="1" customWidth="1"/>
    <col min="5" max="5" width="34" style="2" bestFit="1" customWidth="1"/>
    <col min="6" max="6" width="29.42578125" style="2" customWidth="1"/>
    <col min="7" max="7" width="26.5703125" style="2" bestFit="1" customWidth="1"/>
    <col min="8" max="8" width="36.7109375" style="2" bestFit="1" customWidth="1"/>
    <col min="9" max="9" width="35.7109375" style="2" bestFit="1" customWidth="1"/>
    <col min="10" max="10" width="38.85546875" style="2" bestFit="1" customWidth="1"/>
    <col min="11" max="11" width="37.42578125" style="2" bestFit="1" customWidth="1"/>
    <col min="12" max="12" width="40.7109375" style="2" bestFit="1" customWidth="1"/>
    <col min="13" max="16384" width="8.7109375" style="2"/>
  </cols>
  <sheetData>
    <row r="1" spans="1:12" ht="29.1">
      <c r="A1" s="7" t="s">
        <v>0</v>
      </c>
      <c r="B1" s="8" t="s">
        <v>299</v>
      </c>
      <c r="C1" s="8" t="s">
        <v>2</v>
      </c>
      <c r="D1" s="8" t="s">
        <v>3</v>
      </c>
      <c r="E1" s="8" t="s">
        <v>4</v>
      </c>
      <c r="F1" s="34" t="s">
        <v>5</v>
      </c>
      <c r="G1" s="3" t="s">
        <v>6</v>
      </c>
      <c r="H1" s="3" t="s">
        <v>7</v>
      </c>
      <c r="I1" s="3" t="s">
        <v>8</v>
      </c>
      <c r="J1" s="3" t="s">
        <v>9</v>
      </c>
      <c r="K1" s="3" t="s">
        <v>10</v>
      </c>
      <c r="L1" s="3" t="s">
        <v>11</v>
      </c>
    </row>
    <row r="2" spans="1:12" ht="409.5">
      <c r="A2" s="37">
        <v>23</v>
      </c>
      <c r="B2" s="15" t="s">
        <v>300</v>
      </c>
      <c r="C2" s="15" t="s">
        <v>301</v>
      </c>
      <c r="D2" s="15" t="s">
        <v>302</v>
      </c>
      <c r="E2" s="15" t="s">
        <v>303</v>
      </c>
      <c r="F2" s="35" t="s">
        <v>304</v>
      </c>
      <c r="G2" s="3" t="s">
        <v>305</v>
      </c>
      <c r="H2" s="3" t="s">
        <v>306</v>
      </c>
      <c r="I2" s="3" t="s">
        <v>307</v>
      </c>
      <c r="J2" s="3" t="s">
        <v>308</v>
      </c>
      <c r="K2" s="3" t="s">
        <v>309</v>
      </c>
      <c r="L2" s="3" t="s">
        <v>310</v>
      </c>
    </row>
    <row r="3" spans="1:12" ht="409.5">
      <c r="A3" s="37">
        <v>17</v>
      </c>
      <c r="B3" s="15" t="s">
        <v>311</v>
      </c>
      <c r="C3" s="15" t="s">
        <v>312</v>
      </c>
      <c r="D3" s="15" t="s">
        <v>313</v>
      </c>
      <c r="E3" s="15" t="s">
        <v>314</v>
      </c>
      <c r="F3" s="35" t="s">
        <v>315</v>
      </c>
      <c r="G3" s="3" t="s">
        <v>316</v>
      </c>
      <c r="H3" s="3" t="s">
        <v>317</v>
      </c>
      <c r="I3" s="3" t="s">
        <v>318</v>
      </c>
      <c r="J3" s="3" t="s">
        <v>319</v>
      </c>
      <c r="K3" s="3" t="s">
        <v>320</v>
      </c>
      <c r="L3" s="3" t="s">
        <v>123</v>
      </c>
    </row>
    <row r="4" spans="1:12" ht="318.95">
      <c r="A4" s="37">
        <v>5</v>
      </c>
      <c r="B4" s="15" t="s">
        <v>321</v>
      </c>
      <c r="C4" s="15" t="s">
        <v>322</v>
      </c>
      <c r="D4" s="15" t="s">
        <v>323</v>
      </c>
      <c r="E4" s="15" t="s">
        <v>324</v>
      </c>
      <c r="F4" s="35" t="s">
        <v>325</v>
      </c>
      <c r="G4" s="3" t="s">
        <v>326</v>
      </c>
      <c r="H4" s="3" t="s">
        <v>327</v>
      </c>
      <c r="I4" s="3" t="s">
        <v>328</v>
      </c>
      <c r="J4" s="3" t="s">
        <v>329</v>
      </c>
      <c r="K4" s="3" t="s">
        <v>330</v>
      </c>
      <c r="L4" s="3" t="s">
        <v>331</v>
      </c>
    </row>
    <row r="5" spans="1:12" ht="409.5">
      <c r="A5" s="37">
        <v>13</v>
      </c>
      <c r="B5" s="15" t="s">
        <v>332</v>
      </c>
      <c r="C5" s="15" t="s">
        <v>333</v>
      </c>
      <c r="D5" s="15" t="s">
        <v>334</v>
      </c>
      <c r="E5" s="15" t="s">
        <v>335</v>
      </c>
      <c r="F5" s="35" t="s">
        <v>336</v>
      </c>
      <c r="G5" s="3" t="s">
        <v>337</v>
      </c>
      <c r="H5" s="3" t="s">
        <v>338</v>
      </c>
      <c r="I5" s="3" t="s">
        <v>339</v>
      </c>
      <c r="J5" s="3" t="s">
        <v>340</v>
      </c>
      <c r="K5" s="3" t="s">
        <v>341</v>
      </c>
      <c r="L5" s="3" t="s">
        <v>123</v>
      </c>
    </row>
    <row r="6" spans="1:12" ht="159.6">
      <c r="A6" s="37">
        <v>3</v>
      </c>
      <c r="B6" s="15" t="s">
        <v>342</v>
      </c>
      <c r="C6" s="15" t="s">
        <v>343</v>
      </c>
      <c r="D6" s="15" t="s">
        <v>344</v>
      </c>
      <c r="E6" s="15" t="s">
        <v>106</v>
      </c>
      <c r="F6" s="35" t="s">
        <v>345</v>
      </c>
      <c r="G6" s="3" t="s">
        <v>346</v>
      </c>
      <c r="H6" s="3" t="s">
        <v>347</v>
      </c>
      <c r="I6" s="3" t="s">
        <v>348</v>
      </c>
      <c r="J6" s="3" t="s">
        <v>349</v>
      </c>
      <c r="K6" s="3"/>
      <c r="L6" s="3" t="s">
        <v>112</v>
      </c>
    </row>
    <row r="7" spans="1:12" ht="409.5">
      <c r="A7" s="37">
        <v>12</v>
      </c>
      <c r="B7" s="15" t="s">
        <v>350</v>
      </c>
      <c r="C7" s="15" t="s">
        <v>351</v>
      </c>
      <c r="D7" s="15" t="s">
        <v>352</v>
      </c>
      <c r="E7" s="15" t="s">
        <v>353</v>
      </c>
      <c r="F7" s="35" t="s">
        <v>354</v>
      </c>
      <c r="G7" s="3" t="s">
        <v>355</v>
      </c>
      <c r="H7" s="3" t="s">
        <v>356</v>
      </c>
      <c r="I7" s="3" t="s">
        <v>357</v>
      </c>
      <c r="J7" s="3" t="s">
        <v>358</v>
      </c>
      <c r="K7" s="3"/>
      <c r="L7" s="3" t="s">
        <v>102</v>
      </c>
    </row>
    <row r="8" spans="1:12" ht="409.5">
      <c r="A8" s="37">
        <v>20</v>
      </c>
      <c r="B8" s="15" t="s">
        <v>359</v>
      </c>
      <c r="C8" s="15" t="s">
        <v>360</v>
      </c>
      <c r="D8" s="15" t="s">
        <v>361</v>
      </c>
      <c r="E8" s="15" t="s">
        <v>362</v>
      </c>
      <c r="F8" s="35" t="s">
        <v>363</v>
      </c>
      <c r="G8" s="3" t="s">
        <v>364</v>
      </c>
      <c r="H8" s="3" t="s">
        <v>365</v>
      </c>
      <c r="I8" s="3" t="s">
        <v>366</v>
      </c>
      <c r="J8" s="3" t="s">
        <v>367</v>
      </c>
      <c r="K8" s="3" t="s">
        <v>368</v>
      </c>
      <c r="L8" s="3" t="s">
        <v>369</v>
      </c>
    </row>
    <row r="9" spans="1:12" ht="409.5">
      <c r="A9" s="37">
        <v>16</v>
      </c>
      <c r="B9" s="15" t="s">
        <v>370</v>
      </c>
      <c r="C9" s="15" t="s">
        <v>371</v>
      </c>
      <c r="D9" s="15" t="s">
        <v>372</v>
      </c>
      <c r="E9" s="15" t="s">
        <v>373</v>
      </c>
      <c r="F9" s="35" t="s">
        <v>374</v>
      </c>
      <c r="G9" s="3" t="s">
        <v>375</v>
      </c>
      <c r="H9" s="3" t="s">
        <v>376</v>
      </c>
      <c r="I9" s="3" t="s">
        <v>377</v>
      </c>
      <c r="J9" s="3" t="s">
        <v>378</v>
      </c>
      <c r="K9" s="3"/>
      <c r="L9" s="3" t="s">
        <v>102</v>
      </c>
    </row>
    <row r="10" spans="1:12" ht="130.5">
      <c r="A10" s="37">
        <v>2</v>
      </c>
      <c r="B10" s="15" t="s">
        <v>379</v>
      </c>
      <c r="C10" s="15" t="s">
        <v>380</v>
      </c>
      <c r="D10" s="15" t="s">
        <v>381</v>
      </c>
      <c r="E10" s="15" t="s">
        <v>382</v>
      </c>
      <c r="F10" s="35" t="s">
        <v>383</v>
      </c>
      <c r="G10" s="3" t="s">
        <v>384</v>
      </c>
      <c r="H10" s="3" t="s">
        <v>385</v>
      </c>
      <c r="I10" s="3" t="s">
        <v>386</v>
      </c>
      <c r="J10" s="3" t="s">
        <v>387</v>
      </c>
      <c r="K10" s="3"/>
      <c r="L10" s="3" t="s">
        <v>32</v>
      </c>
    </row>
    <row r="11" spans="1:12" ht="203.1">
      <c r="A11" s="37">
        <v>8</v>
      </c>
      <c r="B11" s="15" t="s">
        <v>388</v>
      </c>
      <c r="C11" s="15" t="s">
        <v>169</v>
      </c>
      <c r="D11" s="15" t="s">
        <v>389</v>
      </c>
      <c r="E11" s="15" t="s">
        <v>106</v>
      </c>
      <c r="F11" s="35" t="s">
        <v>390</v>
      </c>
      <c r="G11" s="3" t="s">
        <v>391</v>
      </c>
      <c r="H11" s="3" t="s">
        <v>392</v>
      </c>
      <c r="I11" s="3" t="s">
        <v>393</v>
      </c>
      <c r="J11" s="3" t="s">
        <v>394</v>
      </c>
      <c r="K11" s="3"/>
      <c r="L11" s="3" t="s">
        <v>112</v>
      </c>
    </row>
    <row r="12" spans="1:12" ht="409.5">
      <c r="A12" s="37">
        <v>5</v>
      </c>
      <c r="B12" s="15" t="s">
        <v>395</v>
      </c>
      <c r="C12" s="15" t="s">
        <v>396</v>
      </c>
      <c r="D12" s="15" t="s">
        <v>397</v>
      </c>
      <c r="E12" s="15" t="s">
        <v>398</v>
      </c>
      <c r="F12" s="35" t="s">
        <v>399</v>
      </c>
      <c r="G12" s="3" t="s">
        <v>400</v>
      </c>
      <c r="H12" s="3" t="s">
        <v>401</v>
      </c>
      <c r="I12" s="3" t="s">
        <v>402</v>
      </c>
      <c r="J12" s="3" t="s">
        <v>403</v>
      </c>
      <c r="K12" s="3" t="s">
        <v>404</v>
      </c>
      <c r="L12" s="3" t="s">
        <v>43</v>
      </c>
    </row>
    <row r="13" spans="1:12" ht="409.5">
      <c r="A13" s="37">
        <v>13</v>
      </c>
      <c r="B13" s="15" t="s">
        <v>405</v>
      </c>
      <c r="C13" s="15" t="s">
        <v>406</v>
      </c>
      <c r="D13" s="15" t="s">
        <v>407</v>
      </c>
      <c r="E13" s="15" t="s">
        <v>408</v>
      </c>
      <c r="F13" s="35" t="s">
        <v>409</v>
      </c>
      <c r="G13" s="3" t="s">
        <v>410</v>
      </c>
      <c r="H13" s="3" t="s">
        <v>411</v>
      </c>
      <c r="I13" s="3" t="s">
        <v>412</v>
      </c>
      <c r="J13" s="3" t="s">
        <v>413</v>
      </c>
      <c r="K13" s="3"/>
      <c r="L13" s="3" t="s">
        <v>414</v>
      </c>
    </row>
    <row r="14" spans="1:12" ht="409.5">
      <c r="A14" s="37">
        <v>9</v>
      </c>
      <c r="B14" s="15" t="s">
        <v>415</v>
      </c>
      <c r="C14" s="15" t="s">
        <v>416</v>
      </c>
      <c r="D14" s="15" t="s">
        <v>417</v>
      </c>
      <c r="E14" s="15" t="s">
        <v>418</v>
      </c>
      <c r="F14" s="35" t="s">
        <v>419</v>
      </c>
      <c r="G14" s="3" t="s">
        <v>420</v>
      </c>
      <c r="H14" s="3" t="s">
        <v>421</v>
      </c>
      <c r="I14" s="3" t="s">
        <v>422</v>
      </c>
      <c r="J14" s="3" t="s">
        <v>423</v>
      </c>
      <c r="K14" s="3" t="s">
        <v>424</v>
      </c>
      <c r="L14" s="3" t="s">
        <v>167</v>
      </c>
    </row>
    <row r="15" spans="1:12" ht="217.5">
      <c r="A15" s="37">
        <v>3</v>
      </c>
      <c r="B15" s="15" t="s">
        <v>425</v>
      </c>
      <c r="C15" s="15" t="s">
        <v>426</v>
      </c>
      <c r="D15" s="15" t="s">
        <v>427</v>
      </c>
      <c r="E15" s="15" t="s">
        <v>428</v>
      </c>
      <c r="F15" s="35" t="s">
        <v>429</v>
      </c>
      <c r="G15" s="3" t="s">
        <v>430</v>
      </c>
      <c r="H15" s="3" t="s">
        <v>431</v>
      </c>
      <c r="I15" s="3" t="s">
        <v>432</v>
      </c>
      <c r="J15" s="3" t="s">
        <v>433</v>
      </c>
      <c r="K15" s="3"/>
      <c r="L15" s="3" t="s">
        <v>32</v>
      </c>
    </row>
    <row r="16" spans="1:12" ht="405.95">
      <c r="A16" s="37">
        <v>8</v>
      </c>
      <c r="B16" s="15" t="s">
        <v>434</v>
      </c>
      <c r="C16" s="15" t="s">
        <v>435</v>
      </c>
      <c r="D16" s="15" t="s">
        <v>436</v>
      </c>
      <c r="E16" s="15" t="s">
        <v>437</v>
      </c>
      <c r="F16" s="35" t="s">
        <v>438</v>
      </c>
      <c r="G16" s="3" t="s">
        <v>439</v>
      </c>
      <c r="H16" s="3" t="s">
        <v>440</v>
      </c>
      <c r="I16" s="3" t="s">
        <v>441</v>
      </c>
      <c r="J16" s="3" t="s">
        <v>442</v>
      </c>
      <c r="K16" s="3"/>
      <c r="L16" s="3" t="s">
        <v>443</v>
      </c>
    </row>
    <row r="17" spans="1:12" ht="409.5">
      <c r="A17" s="37">
        <v>10</v>
      </c>
      <c r="B17" s="15" t="s">
        <v>444</v>
      </c>
      <c r="C17" s="15" t="s">
        <v>445</v>
      </c>
      <c r="D17" s="15" t="s">
        <v>446</v>
      </c>
      <c r="E17" s="15" t="s">
        <v>447</v>
      </c>
      <c r="F17" s="35" t="s">
        <v>448</v>
      </c>
      <c r="G17" s="3" t="s">
        <v>449</v>
      </c>
      <c r="H17" s="3" t="s">
        <v>450</v>
      </c>
      <c r="I17" s="3" t="s">
        <v>451</v>
      </c>
      <c r="J17" s="3" t="s">
        <v>452</v>
      </c>
      <c r="K17" s="3" t="s">
        <v>453</v>
      </c>
      <c r="L17" s="3" t="s">
        <v>454</v>
      </c>
    </row>
    <row r="18" spans="1:12" ht="261">
      <c r="A18" s="37">
        <v>6</v>
      </c>
      <c r="B18" s="15" t="s">
        <v>455</v>
      </c>
      <c r="C18" s="15" t="s">
        <v>456</v>
      </c>
      <c r="D18" s="15" t="s">
        <v>457</v>
      </c>
      <c r="E18" s="15" t="s">
        <v>458</v>
      </c>
      <c r="F18" s="35" t="s">
        <v>459</v>
      </c>
      <c r="G18" s="3" t="s">
        <v>460</v>
      </c>
      <c r="H18" s="3" t="s">
        <v>461</v>
      </c>
      <c r="I18" s="3"/>
      <c r="J18" s="3" t="s">
        <v>461</v>
      </c>
      <c r="K18" s="3"/>
      <c r="L18" s="3" t="s">
        <v>32</v>
      </c>
    </row>
    <row r="19" spans="1:12" ht="409.5">
      <c r="A19" s="37">
        <v>4</v>
      </c>
      <c r="B19" s="15" t="s">
        <v>462</v>
      </c>
      <c r="C19" s="15" t="s">
        <v>463</v>
      </c>
      <c r="D19" s="15" t="s">
        <v>464</v>
      </c>
      <c r="E19" s="15" t="s">
        <v>465</v>
      </c>
      <c r="F19" s="35" t="s">
        <v>466</v>
      </c>
      <c r="G19" s="3" t="s">
        <v>467</v>
      </c>
      <c r="H19" s="3" t="s">
        <v>468</v>
      </c>
      <c r="I19" s="3" t="s">
        <v>469</v>
      </c>
      <c r="J19" s="3" t="s">
        <v>470</v>
      </c>
      <c r="K19" s="3" t="s">
        <v>471</v>
      </c>
      <c r="L19" s="3" t="s">
        <v>22</v>
      </c>
    </row>
    <row r="20" spans="1:12" ht="275.45">
      <c r="A20" s="37">
        <v>7</v>
      </c>
      <c r="B20" s="15" t="s">
        <v>472</v>
      </c>
      <c r="C20" s="15" t="s">
        <v>473</v>
      </c>
      <c r="D20" s="15" t="s">
        <v>474</v>
      </c>
      <c r="E20" s="15" t="s">
        <v>106</v>
      </c>
      <c r="F20" s="35" t="s">
        <v>475</v>
      </c>
      <c r="G20" s="3" t="s">
        <v>476</v>
      </c>
      <c r="H20" s="3" t="s">
        <v>477</v>
      </c>
      <c r="I20" s="3" t="s">
        <v>478</v>
      </c>
      <c r="J20" s="3" t="s">
        <v>479</v>
      </c>
      <c r="K20" s="3"/>
      <c r="L20" s="3" t="s">
        <v>112</v>
      </c>
    </row>
    <row r="21" spans="1:12" ht="348">
      <c r="A21" s="37">
        <v>4</v>
      </c>
      <c r="B21" s="15" t="s">
        <v>480</v>
      </c>
      <c r="C21" s="15" t="s">
        <v>481</v>
      </c>
      <c r="D21" s="15" t="s">
        <v>482</v>
      </c>
      <c r="E21" s="15" t="s">
        <v>483</v>
      </c>
      <c r="F21" s="35" t="s">
        <v>484</v>
      </c>
      <c r="G21" s="3" t="s">
        <v>485</v>
      </c>
      <c r="H21" s="3" t="s">
        <v>486</v>
      </c>
      <c r="I21" s="3" t="s">
        <v>487</v>
      </c>
      <c r="J21" s="3" t="s">
        <v>488</v>
      </c>
      <c r="K21" s="3" t="s">
        <v>489</v>
      </c>
      <c r="L21" s="3" t="s">
        <v>22</v>
      </c>
    </row>
    <row r="22" spans="1:12" ht="159.6">
      <c r="A22" s="37">
        <v>5</v>
      </c>
      <c r="B22" s="15" t="s">
        <v>490</v>
      </c>
      <c r="C22" s="15" t="s">
        <v>491</v>
      </c>
      <c r="D22" s="15" t="s">
        <v>492</v>
      </c>
      <c r="E22" s="15" t="s">
        <v>106</v>
      </c>
      <c r="F22" s="35" t="s">
        <v>493</v>
      </c>
      <c r="G22" s="3" t="s">
        <v>494</v>
      </c>
      <c r="H22" s="3" t="s">
        <v>495</v>
      </c>
      <c r="I22" s="3" t="s">
        <v>496</v>
      </c>
      <c r="J22" s="3" t="s">
        <v>497</v>
      </c>
      <c r="K22" s="3"/>
      <c r="L22" s="3" t="s">
        <v>112</v>
      </c>
    </row>
    <row r="23" spans="1:12" ht="409.5">
      <c r="A23" s="37">
        <v>7</v>
      </c>
      <c r="B23" s="15" t="s">
        <v>498</v>
      </c>
      <c r="C23" s="15" t="s">
        <v>499</v>
      </c>
      <c r="D23" s="15"/>
      <c r="E23" s="15" t="s">
        <v>500</v>
      </c>
      <c r="F23" s="35" t="s">
        <v>501</v>
      </c>
      <c r="G23" s="3" t="s">
        <v>502</v>
      </c>
      <c r="H23" s="3" t="s">
        <v>503</v>
      </c>
      <c r="I23" s="3" t="s">
        <v>504</v>
      </c>
      <c r="J23" s="3" t="s">
        <v>505</v>
      </c>
      <c r="K23" s="3" t="s">
        <v>506</v>
      </c>
      <c r="L23" s="3" t="s">
        <v>156</v>
      </c>
    </row>
    <row r="24" spans="1:12" ht="409.5">
      <c r="A24" s="37">
        <v>17</v>
      </c>
      <c r="B24" s="15" t="s">
        <v>507</v>
      </c>
      <c r="C24" s="15" t="s">
        <v>508</v>
      </c>
      <c r="D24" s="15" t="s">
        <v>509</v>
      </c>
      <c r="E24" s="15" t="s">
        <v>510</v>
      </c>
      <c r="F24" s="35" t="s">
        <v>511</v>
      </c>
      <c r="G24" s="3" t="s">
        <v>512</v>
      </c>
      <c r="H24" s="3" t="s">
        <v>513</v>
      </c>
      <c r="I24" s="3" t="s">
        <v>514</v>
      </c>
      <c r="J24" s="3" t="s">
        <v>515</v>
      </c>
      <c r="K24" s="3" t="s">
        <v>516</v>
      </c>
      <c r="L24" s="3" t="s">
        <v>123</v>
      </c>
    </row>
    <row r="25" spans="1:12" ht="405.95">
      <c r="A25" s="37">
        <v>7</v>
      </c>
      <c r="B25" s="15" t="s">
        <v>517</v>
      </c>
      <c r="C25" s="15" t="s">
        <v>518</v>
      </c>
      <c r="D25" s="15" t="s">
        <v>519</v>
      </c>
      <c r="E25" s="15" t="s">
        <v>106</v>
      </c>
      <c r="F25" s="35" t="s">
        <v>520</v>
      </c>
      <c r="G25" s="3" t="s">
        <v>521</v>
      </c>
      <c r="H25" s="3" t="s">
        <v>522</v>
      </c>
      <c r="I25" s="3" t="s">
        <v>523</v>
      </c>
      <c r="J25" s="3" t="s">
        <v>524</v>
      </c>
      <c r="K25" s="3"/>
      <c r="L25" s="3" t="s">
        <v>112</v>
      </c>
    </row>
    <row r="26" spans="1:12" ht="231.95">
      <c r="A26" s="37">
        <v>5</v>
      </c>
      <c r="B26" s="15" t="s">
        <v>525</v>
      </c>
      <c r="C26" s="15" t="s">
        <v>526</v>
      </c>
      <c r="D26" s="15" t="s">
        <v>527</v>
      </c>
      <c r="E26" s="15" t="s">
        <v>528</v>
      </c>
      <c r="F26" s="35" t="s">
        <v>529</v>
      </c>
      <c r="G26" s="3" t="s">
        <v>530</v>
      </c>
      <c r="H26" s="3" t="s">
        <v>531</v>
      </c>
      <c r="I26" s="3" t="s">
        <v>532</v>
      </c>
      <c r="J26" s="3" t="s">
        <v>533</v>
      </c>
      <c r="K26" s="3" t="s">
        <v>534</v>
      </c>
      <c r="L26" s="3" t="s">
        <v>535</v>
      </c>
    </row>
    <row r="27" spans="1:12" ht="409.5">
      <c r="A27" s="38">
        <v>7</v>
      </c>
      <c r="B27" s="18" t="s">
        <v>536</v>
      </c>
      <c r="C27" s="18" t="s">
        <v>537</v>
      </c>
      <c r="D27" s="18" t="s">
        <v>538</v>
      </c>
      <c r="E27" s="18" t="s">
        <v>539</v>
      </c>
      <c r="F27" s="36" t="s">
        <v>540</v>
      </c>
      <c r="G27" s="3" t="s">
        <v>541</v>
      </c>
      <c r="H27" s="3" t="s">
        <v>542</v>
      </c>
      <c r="I27" s="3" t="s">
        <v>543</v>
      </c>
      <c r="J27" s="3" t="s">
        <v>544</v>
      </c>
      <c r="K27" s="3" t="s">
        <v>545</v>
      </c>
      <c r="L27" s="3" t="s">
        <v>43</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69970-A0EA-4081-8B6E-FFF7815117B1}">
  <dimension ref="A1:X31"/>
  <sheetViews>
    <sheetView zoomScale="50" zoomScaleNormal="50" workbookViewId="0">
      <selection activeCell="M48" sqref="M48"/>
    </sheetView>
  </sheetViews>
  <sheetFormatPr defaultColWidth="20.5703125" defaultRowHeight="14.45"/>
  <cols>
    <col min="1" max="1" width="10.42578125" style="6" bestFit="1" customWidth="1"/>
    <col min="2" max="2" width="43" style="6" bestFit="1" customWidth="1"/>
    <col min="3" max="3" width="24.140625" style="6" bestFit="1" customWidth="1"/>
    <col min="4" max="4" width="33.85546875" style="6" bestFit="1" customWidth="1"/>
    <col min="5" max="5" width="35.5703125" style="6" bestFit="1" customWidth="1"/>
    <col min="6" max="6" width="22.85546875" style="6" bestFit="1" customWidth="1"/>
    <col min="7" max="7" width="28.5703125" style="6" bestFit="1" customWidth="1"/>
    <col min="8" max="8" width="12.7109375" style="6" customWidth="1"/>
    <col min="9" max="9" width="10.42578125" style="6" bestFit="1" customWidth="1"/>
    <col min="10" max="10" width="52.42578125" style="6" bestFit="1" customWidth="1"/>
    <col min="11" max="11" width="49.7109375" style="6" bestFit="1" customWidth="1"/>
    <col min="12" max="12" width="33.85546875" style="6" bestFit="1" customWidth="1"/>
    <col min="13" max="15" width="33.85546875" style="6" customWidth="1"/>
    <col min="16" max="16" width="35.5703125" style="6" bestFit="1" customWidth="1"/>
    <col min="17" max="17" width="6.140625" style="1" bestFit="1" customWidth="1"/>
    <col min="18" max="18" width="57.5703125" style="1" bestFit="1" customWidth="1"/>
    <col min="19" max="19" width="38.140625" style="6" bestFit="1" customWidth="1"/>
    <col min="20" max="20" width="32.85546875" style="6" bestFit="1" customWidth="1"/>
    <col min="21" max="21" width="33.5703125" style="6" bestFit="1" customWidth="1"/>
    <col min="22" max="24" width="33.5703125" style="6" customWidth="1"/>
    <col min="25" max="16384" width="20.5703125" style="6"/>
  </cols>
  <sheetData>
    <row r="1" spans="1:24" s="33" customFormat="1" ht="23.45" customHeight="1">
      <c r="A1" s="75" t="s">
        <v>546</v>
      </c>
      <c r="B1" s="75"/>
      <c r="C1" s="75"/>
      <c r="D1" s="75"/>
      <c r="E1" s="75"/>
      <c r="F1" s="75"/>
      <c r="G1" s="75"/>
      <c r="H1" s="75"/>
      <c r="I1" s="74" t="s">
        <v>547</v>
      </c>
      <c r="J1" s="74"/>
      <c r="K1" s="74"/>
      <c r="L1" s="74"/>
      <c r="M1" s="74"/>
      <c r="N1" s="74"/>
      <c r="O1" s="74"/>
      <c r="P1" s="74"/>
      <c r="Q1" s="76" t="s">
        <v>548</v>
      </c>
      <c r="R1" s="76"/>
      <c r="S1" s="76"/>
      <c r="T1" s="76"/>
      <c r="U1" s="76"/>
      <c r="V1" s="76"/>
      <c r="W1" s="76"/>
      <c r="X1" s="76"/>
    </row>
    <row r="2" spans="1:24" s="39" customFormat="1" ht="63">
      <c r="A2" s="56" t="s">
        <v>0</v>
      </c>
      <c r="B2" s="56" t="s">
        <v>549</v>
      </c>
      <c r="C2" s="56" t="s">
        <v>550</v>
      </c>
      <c r="D2" s="56" t="s">
        <v>551</v>
      </c>
      <c r="E2" s="56" t="s">
        <v>552</v>
      </c>
      <c r="F2" s="57" t="s">
        <v>553</v>
      </c>
      <c r="G2" s="57" t="s">
        <v>554</v>
      </c>
      <c r="H2" s="57"/>
      <c r="I2" s="58" t="s">
        <v>0</v>
      </c>
      <c r="J2" s="58" t="s">
        <v>124</v>
      </c>
      <c r="K2" s="58" t="s">
        <v>550</v>
      </c>
      <c r="L2" s="58" t="s">
        <v>551</v>
      </c>
      <c r="M2" s="58" t="s">
        <v>552</v>
      </c>
      <c r="N2" s="58" t="s">
        <v>553</v>
      </c>
      <c r="O2" s="58" t="s">
        <v>554</v>
      </c>
      <c r="P2" s="58"/>
      <c r="Q2" s="59" t="s">
        <v>0</v>
      </c>
      <c r="R2" s="59" t="s">
        <v>299</v>
      </c>
      <c r="S2" s="59" t="s">
        <v>550</v>
      </c>
      <c r="T2" s="59" t="s">
        <v>551</v>
      </c>
      <c r="U2" s="59" t="s">
        <v>552</v>
      </c>
      <c r="V2" s="59" t="s">
        <v>553</v>
      </c>
      <c r="W2" s="59" t="s">
        <v>554</v>
      </c>
      <c r="X2" s="59"/>
    </row>
    <row r="3" spans="1:24" ht="101.45">
      <c r="A3" s="45">
        <v>29</v>
      </c>
      <c r="B3" s="45" t="s">
        <v>12</v>
      </c>
      <c r="C3" s="45" t="s">
        <v>555</v>
      </c>
      <c r="D3" s="45">
        <v>2</v>
      </c>
      <c r="E3" s="45">
        <v>1</v>
      </c>
      <c r="F3" s="46">
        <v>27</v>
      </c>
      <c r="G3" s="46">
        <v>65</v>
      </c>
      <c r="H3" s="46"/>
      <c r="I3" s="47">
        <v>24</v>
      </c>
      <c r="J3" s="47" t="s">
        <v>125</v>
      </c>
      <c r="K3" s="47" t="s">
        <v>128</v>
      </c>
      <c r="L3" s="47">
        <v>2</v>
      </c>
      <c r="M3" s="47">
        <v>1</v>
      </c>
      <c r="N3" s="47">
        <v>14</v>
      </c>
      <c r="O3" s="47">
        <v>53</v>
      </c>
      <c r="P3" s="47"/>
      <c r="Q3" s="61">
        <v>23</v>
      </c>
      <c r="R3" s="61" t="s">
        <v>300</v>
      </c>
      <c r="S3" s="61" t="s">
        <v>303</v>
      </c>
      <c r="T3" s="61">
        <v>7</v>
      </c>
      <c r="U3" s="61">
        <v>7</v>
      </c>
      <c r="V3" s="61">
        <v>67</v>
      </c>
      <c r="W3" s="61">
        <v>36</v>
      </c>
      <c r="X3" s="61"/>
    </row>
    <row r="4" spans="1:24" ht="174">
      <c r="A4" s="45">
        <v>24</v>
      </c>
      <c r="B4" s="45" t="s">
        <v>23</v>
      </c>
      <c r="C4" s="45" t="s">
        <v>556</v>
      </c>
      <c r="D4" s="45">
        <v>1</v>
      </c>
      <c r="E4" s="45">
        <v>0</v>
      </c>
      <c r="F4" s="46">
        <v>6</v>
      </c>
      <c r="G4" s="46">
        <v>86</v>
      </c>
      <c r="H4" s="46"/>
      <c r="I4" s="47">
        <v>56</v>
      </c>
      <c r="J4" s="47" t="s">
        <v>135</v>
      </c>
      <c r="K4" s="47" t="s">
        <v>138</v>
      </c>
      <c r="L4" s="47">
        <v>12</v>
      </c>
      <c r="M4" s="47">
        <v>7</v>
      </c>
      <c r="N4" s="47">
        <v>72</v>
      </c>
      <c r="O4" s="47">
        <v>156</v>
      </c>
      <c r="P4" s="47"/>
      <c r="Q4" s="61">
        <v>17</v>
      </c>
      <c r="R4" s="61" t="s">
        <v>311</v>
      </c>
      <c r="S4" s="61" t="s">
        <v>314</v>
      </c>
      <c r="T4" s="61">
        <v>3</v>
      </c>
      <c r="U4" s="61">
        <v>2</v>
      </c>
      <c r="V4" s="61">
        <v>32</v>
      </c>
      <c r="W4" s="61">
        <v>42</v>
      </c>
      <c r="X4" s="61"/>
    </row>
    <row r="5" spans="1:24" ht="144.94999999999999">
      <c r="A5" s="45">
        <v>28</v>
      </c>
      <c r="B5" s="45" t="s">
        <v>33</v>
      </c>
      <c r="C5" s="45" t="s">
        <v>42</v>
      </c>
      <c r="D5" s="45">
        <v>1</v>
      </c>
      <c r="E5" s="45">
        <v>1</v>
      </c>
      <c r="F5" s="46">
        <v>78</v>
      </c>
      <c r="G5" s="46">
        <v>32</v>
      </c>
      <c r="H5" s="46"/>
      <c r="I5" s="47">
        <v>36</v>
      </c>
      <c r="J5" s="47" t="s">
        <v>146</v>
      </c>
      <c r="K5" s="47" t="s">
        <v>149</v>
      </c>
      <c r="L5" s="47">
        <v>2</v>
      </c>
      <c r="M5" s="47">
        <v>2</v>
      </c>
      <c r="N5" s="47">
        <v>16</v>
      </c>
      <c r="O5" s="47">
        <v>83</v>
      </c>
      <c r="P5" s="47"/>
      <c r="Q5" s="61">
        <v>5</v>
      </c>
      <c r="R5" s="61" t="s">
        <v>321</v>
      </c>
      <c r="S5" s="61" t="s">
        <v>324</v>
      </c>
      <c r="T5" s="61">
        <v>10</v>
      </c>
      <c r="U5" s="61">
        <v>7</v>
      </c>
      <c r="V5" s="61">
        <v>15</v>
      </c>
      <c r="W5" s="61">
        <v>7</v>
      </c>
      <c r="X5" s="61"/>
    </row>
    <row r="6" spans="1:24" ht="43.5">
      <c r="A6" s="45">
        <v>34</v>
      </c>
      <c r="B6" s="45" t="s">
        <v>44</v>
      </c>
      <c r="C6" s="45" t="s">
        <v>557</v>
      </c>
      <c r="D6" s="45">
        <v>1</v>
      </c>
      <c r="E6" s="45">
        <v>0</v>
      </c>
      <c r="F6" s="46">
        <v>11</v>
      </c>
      <c r="G6" s="46">
        <v>85</v>
      </c>
      <c r="H6" s="46"/>
      <c r="I6" s="47">
        <v>8</v>
      </c>
      <c r="J6" s="47" t="s">
        <v>157</v>
      </c>
      <c r="K6" s="47" t="s">
        <v>160</v>
      </c>
      <c r="L6" s="47">
        <v>3</v>
      </c>
      <c r="M6" s="47">
        <v>3</v>
      </c>
      <c r="N6" s="47">
        <v>14</v>
      </c>
      <c r="O6" s="47">
        <v>20</v>
      </c>
      <c r="P6" s="47"/>
      <c r="Q6" s="61">
        <v>13</v>
      </c>
      <c r="R6" s="61" t="s">
        <v>332</v>
      </c>
      <c r="S6" s="61" t="s">
        <v>335</v>
      </c>
      <c r="T6" s="61">
        <v>3</v>
      </c>
      <c r="U6" s="61">
        <v>2</v>
      </c>
      <c r="V6" s="61">
        <v>19</v>
      </c>
      <c r="W6" s="61">
        <v>22</v>
      </c>
      <c r="X6" s="61"/>
    </row>
    <row r="7" spans="1:24" ht="72.599999999999994">
      <c r="A7" s="45">
        <v>50</v>
      </c>
      <c r="B7" s="45" t="s">
        <v>53</v>
      </c>
      <c r="C7" s="45" t="s">
        <v>558</v>
      </c>
      <c r="D7" s="45">
        <v>10</v>
      </c>
      <c r="E7" s="45">
        <v>5</v>
      </c>
      <c r="F7" s="46">
        <v>48</v>
      </c>
      <c r="G7" s="46">
        <v>133</v>
      </c>
      <c r="H7" s="46"/>
      <c r="I7" s="47">
        <v>2</v>
      </c>
      <c r="J7" s="47" t="s">
        <v>168</v>
      </c>
      <c r="K7" s="47" t="s">
        <v>106</v>
      </c>
      <c r="L7" s="47">
        <v>0</v>
      </c>
      <c r="M7" s="47">
        <v>0</v>
      </c>
      <c r="N7" s="47">
        <v>0</v>
      </c>
      <c r="O7" s="47">
        <v>5</v>
      </c>
      <c r="P7" s="47"/>
      <c r="Q7" s="61">
        <v>3</v>
      </c>
      <c r="R7" s="61" t="s">
        <v>342</v>
      </c>
      <c r="S7" s="61" t="s">
        <v>106</v>
      </c>
      <c r="T7" s="61">
        <v>0</v>
      </c>
      <c r="U7" s="61">
        <v>0</v>
      </c>
      <c r="V7" s="61">
        <v>5</v>
      </c>
      <c r="W7" s="61">
        <v>5</v>
      </c>
      <c r="X7" s="61"/>
    </row>
    <row r="8" spans="1:24" ht="43.5">
      <c r="A8" s="45">
        <v>20</v>
      </c>
      <c r="B8" s="45" t="s">
        <v>64</v>
      </c>
      <c r="C8" s="45" t="s">
        <v>559</v>
      </c>
      <c r="D8" s="45">
        <v>1</v>
      </c>
      <c r="E8" s="45">
        <v>0</v>
      </c>
      <c r="F8" s="46">
        <v>11</v>
      </c>
      <c r="G8" s="46">
        <v>50</v>
      </c>
      <c r="H8" s="46"/>
      <c r="I8" s="47">
        <v>17</v>
      </c>
      <c r="J8" s="47" t="s">
        <v>175</v>
      </c>
      <c r="K8" s="47" t="s">
        <v>178</v>
      </c>
      <c r="L8" s="47">
        <v>3</v>
      </c>
      <c r="M8" s="47">
        <v>2</v>
      </c>
      <c r="N8" s="47">
        <v>17</v>
      </c>
      <c r="O8" s="47">
        <v>30</v>
      </c>
      <c r="P8" s="47"/>
      <c r="Q8" s="61">
        <v>12</v>
      </c>
      <c r="R8" s="61" t="s">
        <v>350</v>
      </c>
      <c r="S8" s="61" t="s">
        <v>353</v>
      </c>
      <c r="T8" s="61">
        <v>2</v>
      </c>
      <c r="U8" s="61">
        <v>0</v>
      </c>
      <c r="V8" s="61">
        <v>4</v>
      </c>
      <c r="W8" s="61">
        <v>39</v>
      </c>
      <c r="X8" s="61"/>
    </row>
    <row r="9" spans="1:24" ht="116.1">
      <c r="A9" s="45">
        <v>43</v>
      </c>
      <c r="B9" s="45" t="s">
        <v>73</v>
      </c>
      <c r="C9" s="45" t="s">
        <v>560</v>
      </c>
      <c r="D9" s="45">
        <v>1</v>
      </c>
      <c r="E9" s="45">
        <v>0</v>
      </c>
      <c r="F9" s="46">
        <v>53</v>
      </c>
      <c r="G9" s="46">
        <v>124</v>
      </c>
      <c r="H9" s="46"/>
      <c r="I9" s="47">
        <v>46</v>
      </c>
      <c r="J9" s="47" t="s">
        <v>185</v>
      </c>
      <c r="K9" s="47" t="s">
        <v>188</v>
      </c>
      <c r="L9" s="47">
        <v>2</v>
      </c>
      <c r="M9" s="47">
        <v>2</v>
      </c>
      <c r="N9" s="47">
        <v>15</v>
      </c>
      <c r="O9" s="47">
        <v>125</v>
      </c>
      <c r="P9" s="47"/>
      <c r="Q9" s="61">
        <v>20</v>
      </c>
      <c r="R9" s="61" t="s">
        <v>359</v>
      </c>
      <c r="S9" s="61" t="s">
        <v>362</v>
      </c>
      <c r="T9" s="61">
        <v>7</v>
      </c>
      <c r="U9" s="61">
        <v>2</v>
      </c>
      <c r="V9" s="61">
        <v>15</v>
      </c>
      <c r="W9" s="61">
        <v>122</v>
      </c>
      <c r="X9" s="61"/>
    </row>
    <row r="10" spans="1:24" ht="116.1">
      <c r="A10" s="45">
        <v>32</v>
      </c>
      <c r="B10" s="45" t="s">
        <v>82</v>
      </c>
      <c r="C10" s="45" t="s">
        <v>561</v>
      </c>
      <c r="D10" s="45">
        <v>5</v>
      </c>
      <c r="E10" s="45">
        <v>3</v>
      </c>
      <c r="F10" s="46">
        <v>15</v>
      </c>
      <c r="G10" s="46">
        <v>75</v>
      </c>
      <c r="H10" s="46"/>
      <c r="I10" s="47">
        <v>59</v>
      </c>
      <c r="J10" s="47" t="s">
        <v>195</v>
      </c>
      <c r="K10" s="47" t="s">
        <v>198</v>
      </c>
      <c r="L10" s="47">
        <v>8</v>
      </c>
      <c r="M10" s="47">
        <v>6</v>
      </c>
      <c r="N10" s="47">
        <v>63</v>
      </c>
      <c r="O10" s="47">
        <v>133</v>
      </c>
      <c r="P10" s="47"/>
      <c r="Q10" s="61">
        <v>16</v>
      </c>
      <c r="R10" s="61" t="s">
        <v>370</v>
      </c>
      <c r="S10" s="61" t="s">
        <v>373</v>
      </c>
      <c r="T10" s="61">
        <v>2</v>
      </c>
      <c r="U10" s="61">
        <v>0</v>
      </c>
      <c r="V10" s="61">
        <v>7</v>
      </c>
      <c r="W10" s="61">
        <v>34</v>
      </c>
      <c r="X10" s="61"/>
    </row>
    <row r="11" spans="1:24" ht="409.5">
      <c r="A11" s="45">
        <v>27</v>
      </c>
      <c r="B11" s="45" t="s">
        <v>93</v>
      </c>
      <c r="C11" s="45" t="s">
        <v>562</v>
      </c>
      <c r="D11" s="45">
        <v>2</v>
      </c>
      <c r="E11" s="45">
        <v>0</v>
      </c>
      <c r="F11" s="46">
        <v>13</v>
      </c>
      <c r="G11" s="46">
        <v>73</v>
      </c>
      <c r="H11" s="46"/>
      <c r="I11" s="47">
        <v>61</v>
      </c>
      <c r="J11" s="47" t="s">
        <v>206</v>
      </c>
      <c r="K11" s="47" t="s">
        <v>209</v>
      </c>
      <c r="L11" s="47">
        <v>35</v>
      </c>
      <c r="M11" s="47">
        <v>25</v>
      </c>
      <c r="N11" s="47">
        <v>205</v>
      </c>
      <c r="O11" s="47">
        <v>84</v>
      </c>
      <c r="P11" s="47"/>
      <c r="Q11" s="61">
        <v>2</v>
      </c>
      <c r="R11" s="61" t="s">
        <v>379</v>
      </c>
      <c r="S11" s="61" t="s">
        <v>382</v>
      </c>
      <c r="T11" s="61">
        <v>1</v>
      </c>
      <c r="U11" s="61">
        <v>0</v>
      </c>
      <c r="V11" s="61">
        <v>4</v>
      </c>
      <c r="W11" s="61">
        <v>4</v>
      </c>
      <c r="X11" s="61"/>
    </row>
    <row r="12" spans="1:24" ht="29.1">
      <c r="A12" s="45">
        <v>5</v>
      </c>
      <c r="B12" s="45" t="s">
        <v>103</v>
      </c>
      <c r="C12" s="45" t="s">
        <v>106</v>
      </c>
      <c r="D12" s="45">
        <v>0</v>
      </c>
      <c r="E12" s="45">
        <v>0</v>
      </c>
      <c r="F12" s="48">
        <v>1</v>
      </c>
      <c r="G12" s="48">
        <v>10</v>
      </c>
      <c r="H12" s="48"/>
      <c r="I12" s="47">
        <v>7</v>
      </c>
      <c r="J12" s="47" t="s">
        <v>217</v>
      </c>
      <c r="K12" s="47" t="s">
        <v>220</v>
      </c>
      <c r="L12" s="47">
        <v>2</v>
      </c>
      <c r="M12" s="47">
        <v>0</v>
      </c>
      <c r="N12" s="47">
        <v>3</v>
      </c>
      <c r="O12" s="47">
        <v>16</v>
      </c>
      <c r="P12" s="47"/>
      <c r="Q12" s="61">
        <v>8</v>
      </c>
      <c r="R12" s="61" t="s">
        <v>388</v>
      </c>
      <c r="S12" s="61" t="s">
        <v>106</v>
      </c>
      <c r="T12" s="61">
        <v>0</v>
      </c>
      <c r="U12" s="61">
        <v>0</v>
      </c>
      <c r="V12" s="61">
        <v>2</v>
      </c>
      <c r="W12" s="61">
        <v>12</v>
      </c>
      <c r="X12" s="61"/>
    </row>
    <row r="13" spans="1:24" ht="43.5">
      <c r="A13" s="45">
        <v>29</v>
      </c>
      <c r="B13" s="45" t="s">
        <v>113</v>
      </c>
      <c r="C13" s="45" t="s">
        <v>563</v>
      </c>
      <c r="D13" s="45">
        <v>3</v>
      </c>
      <c r="E13" s="45">
        <v>2</v>
      </c>
      <c r="F13" s="46">
        <v>25</v>
      </c>
      <c r="G13" s="46">
        <v>75</v>
      </c>
      <c r="H13" s="46"/>
      <c r="I13" s="47">
        <v>3</v>
      </c>
      <c r="J13" s="47" t="s">
        <v>226</v>
      </c>
      <c r="K13" s="47" t="s">
        <v>106</v>
      </c>
      <c r="L13" s="47">
        <v>0</v>
      </c>
      <c r="M13" s="47">
        <v>0</v>
      </c>
      <c r="N13" s="47">
        <v>2</v>
      </c>
      <c r="O13" s="47">
        <v>5</v>
      </c>
      <c r="P13" s="47"/>
      <c r="Q13" s="61">
        <v>5</v>
      </c>
      <c r="R13" s="61" t="s">
        <v>395</v>
      </c>
      <c r="S13" s="61" t="s">
        <v>398</v>
      </c>
      <c r="T13" s="61">
        <v>1</v>
      </c>
      <c r="U13" s="61">
        <v>1</v>
      </c>
      <c r="V13" s="61">
        <v>15</v>
      </c>
      <c r="W13" s="61">
        <v>27</v>
      </c>
      <c r="X13" s="61"/>
    </row>
    <row r="14" spans="1:24" ht="57.95">
      <c r="A14" s="49"/>
      <c r="B14" s="49"/>
      <c r="C14" s="49"/>
      <c r="D14" s="50"/>
      <c r="E14" s="50"/>
      <c r="F14" s="50"/>
      <c r="G14" s="50"/>
      <c r="H14" s="50"/>
      <c r="I14" s="47">
        <v>56</v>
      </c>
      <c r="J14" s="47" t="s">
        <v>234</v>
      </c>
      <c r="K14" s="47" t="s">
        <v>237</v>
      </c>
      <c r="L14" s="47">
        <v>4</v>
      </c>
      <c r="M14" s="47">
        <v>2</v>
      </c>
      <c r="N14" s="47">
        <v>44</v>
      </c>
      <c r="O14" s="47">
        <v>115</v>
      </c>
      <c r="P14" s="47"/>
      <c r="Q14" s="61">
        <v>13</v>
      </c>
      <c r="R14" s="61" t="s">
        <v>405</v>
      </c>
      <c r="S14" s="61" t="s">
        <v>408</v>
      </c>
      <c r="T14" s="61">
        <v>3</v>
      </c>
      <c r="U14" s="61">
        <v>0</v>
      </c>
      <c r="V14" s="61">
        <v>3</v>
      </c>
      <c r="W14" s="61">
        <v>45</v>
      </c>
      <c r="X14" s="61"/>
    </row>
    <row r="15" spans="1:24" ht="116.1">
      <c r="A15" s="49"/>
      <c r="B15" s="49"/>
      <c r="C15" s="49"/>
      <c r="D15" s="50"/>
      <c r="E15" s="50"/>
      <c r="F15" s="50"/>
      <c r="G15" s="50"/>
      <c r="H15" s="50"/>
      <c r="I15" s="47">
        <v>37</v>
      </c>
      <c r="J15" s="47" t="s">
        <v>245</v>
      </c>
      <c r="K15" s="47" t="s">
        <v>248</v>
      </c>
      <c r="L15" s="47">
        <v>8</v>
      </c>
      <c r="M15" s="47">
        <v>2</v>
      </c>
      <c r="N15" s="47">
        <v>18</v>
      </c>
      <c r="O15" s="47">
        <v>117</v>
      </c>
      <c r="P15" s="47"/>
      <c r="Q15" s="61">
        <v>9</v>
      </c>
      <c r="R15" s="61" t="s">
        <v>415</v>
      </c>
      <c r="S15" s="61" t="s">
        <v>418</v>
      </c>
      <c r="T15" s="61">
        <v>3</v>
      </c>
      <c r="U15" s="61">
        <v>3</v>
      </c>
      <c r="V15" s="61">
        <v>11</v>
      </c>
      <c r="W15" s="61">
        <v>18</v>
      </c>
      <c r="X15" s="61"/>
    </row>
    <row r="16" spans="1:24" ht="29.1">
      <c r="A16" s="49"/>
      <c r="B16" s="49"/>
      <c r="C16" s="49"/>
      <c r="D16" s="50"/>
      <c r="E16" s="50"/>
      <c r="F16" s="50"/>
      <c r="G16" s="50"/>
      <c r="H16" s="50"/>
      <c r="I16" s="47">
        <v>24</v>
      </c>
      <c r="J16" s="47" t="s">
        <v>256</v>
      </c>
      <c r="K16" s="47" t="s">
        <v>259</v>
      </c>
      <c r="L16" s="47">
        <v>2</v>
      </c>
      <c r="M16" s="47">
        <v>0</v>
      </c>
      <c r="N16" s="47">
        <v>18</v>
      </c>
      <c r="O16" s="47">
        <v>64</v>
      </c>
      <c r="P16" s="47"/>
      <c r="Q16" s="61">
        <v>3</v>
      </c>
      <c r="R16" s="61" t="s">
        <v>425</v>
      </c>
      <c r="S16" s="61" t="s">
        <v>428</v>
      </c>
      <c r="T16" s="61">
        <v>1</v>
      </c>
      <c r="U16" s="61">
        <v>0</v>
      </c>
      <c r="V16" s="61">
        <v>10</v>
      </c>
      <c r="W16" s="61">
        <v>4</v>
      </c>
      <c r="X16" s="61"/>
    </row>
    <row r="17" spans="1:24" ht="72.599999999999994">
      <c r="A17" s="49"/>
      <c r="B17" s="49"/>
      <c r="C17" s="49"/>
      <c r="D17" s="50"/>
      <c r="E17" s="50"/>
      <c r="F17" s="50"/>
      <c r="G17" s="50"/>
      <c r="H17" s="50"/>
      <c r="I17" s="47">
        <v>7</v>
      </c>
      <c r="J17" s="47" t="s">
        <v>265</v>
      </c>
      <c r="K17" s="47" t="s">
        <v>106</v>
      </c>
      <c r="L17" s="47">
        <v>0</v>
      </c>
      <c r="M17" s="47">
        <v>0</v>
      </c>
      <c r="N17" s="47">
        <v>1</v>
      </c>
      <c r="O17" s="47">
        <v>19</v>
      </c>
      <c r="P17" s="47"/>
      <c r="Q17" s="61">
        <v>8</v>
      </c>
      <c r="R17" s="61" t="s">
        <v>434</v>
      </c>
      <c r="S17" s="61" t="s">
        <v>437</v>
      </c>
      <c r="T17" s="61">
        <v>5</v>
      </c>
      <c r="U17" s="61">
        <v>0</v>
      </c>
      <c r="V17" s="61">
        <v>5</v>
      </c>
      <c r="W17" s="61">
        <v>23</v>
      </c>
      <c r="X17" s="61"/>
    </row>
    <row r="18" spans="1:24" ht="43.5">
      <c r="A18" s="49"/>
      <c r="B18" s="49"/>
      <c r="C18" s="49"/>
      <c r="D18" s="50"/>
      <c r="E18" s="50"/>
      <c r="F18" s="50"/>
      <c r="G18" s="50"/>
      <c r="H18" s="50"/>
      <c r="I18" s="47">
        <v>14</v>
      </c>
      <c r="J18" s="47" t="s">
        <v>273</v>
      </c>
      <c r="K18" s="47" t="s">
        <v>276</v>
      </c>
      <c r="L18" s="47">
        <v>2</v>
      </c>
      <c r="M18" s="47">
        <v>1</v>
      </c>
      <c r="N18" s="47">
        <v>13</v>
      </c>
      <c r="O18" s="47">
        <v>18</v>
      </c>
      <c r="P18" s="47"/>
      <c r="Q18" s="61">
        <v>10</v>
      </c>
      <c r="R18" s="61" t="s">
        <v>444</v>
      </c>
      <c r="S18" s="61" t="s">
        <v>447</v>
      </c>
      <c r="T18" s="61">
        <v>3</v>
      </c>
      <c r="U18" s="61">
        <v>1</v>
      </c>
      <c r="V18" s="61">
        <v>21</v>
      </c>
      <c r="W18" s="61">
        <v>16</v>
      </c>
      <c r="X18" s="61"/>
    </row>
    <row r="19" spans="1:24">
      <c r="A19" s="49"/>
      <c r="B19" s="49"/>
      <c r="C19" s="49"/>
      <c r="D19" s="50"/>
      <c r="E19" s="50"/>
      <c r="F19" s="50"/>
      <c r="G19" s="50"/>
      <c r="H19" s="50"/>
      <c r="I19" s="47">
        <v>6</v>
      </c>
      <c r="J19" s="47" t="s">
        <v>283</v>
      </c>
      <c r="K19" s="47" t="s">
        <v>106</v>
      </c>
      <c r="L19" s="47">
        <v>0</v>
      </c>
      <c r="M19" s="47">
        <v>0</v>
      </c>
      <c r="N19" s="47">
        <v>4</v>
      </c>
      <c r="O19" s="47">
        <v>10</v>
      </c>
      <c r="P19" s="47"/>
      <c r="Q19" s="61">
        <v>6</v>
      </c>
      <c r="R19" s="61" t="s">
        <v>455</v>
      </c>
      <c r="S19" s="61" t="s">
        <v>458</v>
      </c>
      <c r="T19" s="61">
        <v>1</v>
      </c>
      <c r="U19" s="61">
        <v>0</v>
      </c>
      <c r="V19" s="61">
        <v>0</v>
      </c>
      <c r="W19" s="61">
        <v>17</v>
      </c>
      <c r="X19" s="61"/>
    </row>
    <row r="20" spans="1:24" ht="29.1">
      <c r="A20" s="49"/>
      <c r="B20" s="49"/>
      <c r="C20" s="49"/>
      <c r="D20" s="50"/>
      <c r="E20" s="50"/>
      <c r="F20" s="50"/>
      <c r="G20" s="50"/>
      <c r="H20" s="50"/>
      <c r="I20" s="47">
        <v>10</v>
      </c>
      <c r="J20" s="47" t="s">
        <v>291</v>
      </c>
      <c r="K20" s="47" t="s">
        <v>106</v>
      </c>
      <c r="L20" s="47">
        <v>0</v>
      </c>
      <c r="M20" s="47">
        <v>0</v>
      </c>
      <c r="N20" s="47">
        <v>18</v>
      </c>
      <c r="O20" s="47">
        <v>10</v>
      </c>
      <c r="P20" s="47"/>
      <c r="Q20" s="61">
        <v>4</v>
      </c>
      <c r="R20" s="61" t="s">
        <v>462</v>
      </c>
      <c r="S20" s="61" t="s">
        <v>465</v>
      </c>
      <c r="T20" s="61">
        <v>2</v>
      </c>
      <c r="U20" s="61">
        <v>1</v>
      </c>
      <c r="V20" s="61">
        <v>9</v>
      </c>
      <c r="W20" s="61">
        <v>31</v>
      </c>
      <c r="X20" s="61"/>
    </row>
    <row r="21" spans="1:24">
      <c r="A21" s="49"/>
      <c r="B21" s="49"/>
      <c r="C21" s="49"/>
      <c r="D21" s="50"/>
      <c r="E21" s="50"/>
      <c r="F21" s="50"/>
      <c r="G21" s="50"/>
      <c r="H21" s="50"/>
      <c r="I21" s="49"/>
      <c r="J21" s="49"/>
      <c r="K21" s="50"/>
      <c r="L21" s="50"/>
      <c r="M21" s="50"/>
      <c r="N21" s="50"/>
      <c r="O21" s="50"/>
      <c r="P21" s="50"/>
      <c r="Q21" s="61">
        <v>7</v>
      </c>
      <c r="R21" s="61" t="s">
        <v>472</v>
      </c>
      <c r="S21" s="61" t="s">
        <v>106</v>
      </c>
      <c r="T21" s="61">
        <v>0</v>
      </c>
      <c r="U21" s="61">
        <v>0</v>
      </c>
      <c r="V21" s="61">
        <v>3</v>
      </c>
      <c r="W21" s="61">
        <v>15</v>
      </c>
      <c r="X21" s="61"/>
    </row>
    <row r="22" spans="1:24" ht="29.1">
      <c r="A22" s="49"/>
      <c r="B22" s="49"/>
      <c r="C22" s="49"/>
      <c r="D22" s="50"/>
      <c r="E22" s="50"/>
      <c r="F22" s="50"/>
      <c r="G22" s="50"/>
      <c r="H22" s="50"/>
      <c r="I22" s="49"/>
      <c r="J22" s="49"/>
      <c r="K22" s="50"/>
      <c r="L22" s="50"/>
      <c r="M22" s="50"/>
      <c r="N22" s="50"/>
      <c r="O22" s="50"/>
      <c r="P22" s="50"/>
      <c r="Q22" s="61">
        <v>4</v>
      </c>
      <c r="R22" s="61" t="s">
        <v>480</v>
      </c>
      <c r="S22" s="61" t="s">
        <v>483</v>
      </c>
      <c r="T22" s="61">
        <v>2</v>
      </c>
      <c r="U22" s="61">
        <v>1</v>
      </c>
      <c r="V22" s="61">
        <v>8</v>
      </c>
      <c r="W22" s="61">
        <v>16</v>
      </c>
      <c r="X22" s="61"/>
    </row>
    <row r="23" spans="1:24">
      <c r="A23" s="49"/>
      <c r="B23" s="49"/>
      <c r="C23" s="49"/>
      <c r="D23" s="50"/>
      <c r="E23" s="50"/>
      <c r="F23" s="50"/>
      <c r="G23" s="50"/>
      <c r="H23" s="50"/>
      <c r="I23" s="49"/>
      <c r="J23" s="49"/>
      <c r="K23" s="50"/>
      <c r="L23" s="50"/>
      <c r="M23" s="50"/>
      <c r="N23" s="50"/>
      <c r="O23" s="50"/>
      <c r="P23" s="50"/>
      <c r="Q23" s="61">
        <v>5</v>
      </c>
      <c r="R23" s="61" t="s">
        <v>490</v>
      </c>
      <c r="S23" s="61" t="s">
        <v>106</v>
      </c>
      <c r="T23" s="61">
        <v>0</v>
      </c>
      <c r="U23" s="61">
        <v>0</v>
      </c>
      <c r="V23" s="61">
        <v>4</v>
      </c>
      <c r="W23" s="61">
        <v>6</v>
      </c>
      <c r="X23" s="61"/>
    </row>
    <row r="24" spans="1:24" ht="29.1">
      <c r="A24" s="49"/>
      <c r="B24" s="49"/>
      <c r="C24" s="49"/>
      <c r="D24" s="50"/>
      <c r="E24" s="50"/>
      <c r="F24" s="50"/>
      <c r="G24" s="50"/>
      <c r="H24" s="50"/>
      <c r="I24" s="49"/>
      <c r="J24" s="49"/>
      <c r="K24" s="50"/>
      <c r="L24" s="50"/>
      <c r="M24" s="50"/>
      <c r="N24" s="50"/>
      <c r="O24" s="50"/>
      <c r="P24" s="50"/>
      <c r="Q24" s="61">
        <v>7</v>
      </c>
      <c r="R24" s="61" t="s">
        <v>498</v>
      </c>
      <c r="S24" s="61" t="s">
        <v>500</v>
      </c>
      <c r="T24" s="61">
        <v>2</v>
      </c>
      <c r="U24" s="61">
        <v>2</v>
      </c>
      <c r="V24" s="61">
        <v>14</v>
      </c>
      <c r="W24" s="61">
        <v>15</v>
      </c>
      <c r="X24" s="61"/>
    </row>
    <row r="25" spans="1:24" ht="43.5">
      <c r="A25" s="49"/>
      <c r="B25" s="49"/>
      <c r="C25" s="49"/>
      <c r="D25" s="50"/>
      <c r="E25" s="50"/>
      <c r="F25" s="50"/>
      <c r="G25" s="50"/>
      <c r="H25" s="50"/>
      <c r="I25" s="49"/>
      <c r="J25" s="49"/>
      <c r="K25" s="50"/>
      <c r="L25" s="50"/>
      <c r="M25" s="50"/>
      <c r="N25" s="50"/>
      <c r="O25" s="50"/>
      <c r="P25" s="50"/>
      <c r="Q25" s="61">
        <v>17</v>
      </c>
      <c r="R25" s="61" t="s">
        <v>507</v>
      </c>
      <c r="S25" s="61" t="s">
        <v>510</v>
      </c>
      <c r="T25" s="61">
        <v>3</v>
      </c>
      <c r="U25" s="61">
        <v>2</v>
      </c>
      <c r="V25" s="61">
        <v>14</v>
      </c>
      <c r="W25" s="61">
        <v>45</v>
      </c>
      <c r="X25" s="61"/>
    </row>
    <row r="26" spans="1:24">
      <c r="A26" s="49"/>
      <c r="B26" s="49"/>
      <c r="C26" s="49"/>
      <c r="D26" s="50"/>
      <c r="E26" s="50"/>
      <c r="F26" s="50"/>
      <c r="G26" s="50"/>
      <c r="H26" s="50"/>
      <c r="I26" s="49"/>
      <c r="J26" s="49"/>
      <c r="K26" s="50"/>
      <c r="L26" s="50"/>
      <c r="M26" s="50"/>
      <c r="N26" s="50"/>
      <c r="O26" s="50"/>
      <c r="P26" s="50"/>
      <c r="Q26" s="61">
        <v>7</v>
      </c>
      <c r="R26" s="61" t="s">
        <v>517</v>
      </c>
      <c r="S26" s="61" t="s">
        <v>106</v>
      </c>
      <c r="T26" s="61">
        <v>0</v>
      </c>
      <c r="U26" s="61">
        <v>0</v>
      </c>
      <c r="V26" s="61">
        <v>12</v>
      </c>
      <c r="W26" s="61">
        <v>16</v>
      </c>
      <c r="X26" s="61"/>
    </row>
    <row r="27" spans="1:24" ht="87">
      <c r="A27" s="49"/>
      <c r="B27" s="49"/>
      <c r="C27" s="49"/>
      <c r="D27" s="50"/>
      <c r="E27" s="50"/>
      <c r="F27" s="50"/>
      <c r="G27" s="50"/>
      <c r="H27" s="50"/>
      <c r="I27" s="49"/>
      <c r="J27" s="49"/>
      <c r="K27" s="50"/>
      <c r="L27" s="50"/>
      <c r="M27" s="50"/>
      <c r="N27" s="50"/>
      <c r="O27" s="50"/>
      <c r="P27" s="50"/>
      <c r="Q27" s="61">
        <v>5</v>
      </c>
      <c r="R27" s="61" t="s">
        <v>525</v>
      </c>
      <c r="S27" s="61" t="s">
        <v>528</v>
      </c>
      <c r="T27" s="61">
        <v>6</v>
      </c>
      <c r="U27" s="61">
        <v>4</v>
      </c>
      <c r="V27" s="61">
        <v>4</v>
      </c>
      <c r="W27" s="61">
        <v>12</v>
      </c>
      <c r="X27" s="61"/>
    </row>
    <row r="28" spans="1:24">
      <c r="A28" s="49"/>
      <c r="B28" s="49"/>
      <c r="C28" s="49"/>
      <c r="D28" s="50"/>
      <c r="E28" s="50"/>
      <c r="F28" s="50"/>
      <c r="G28" s="50"/>
      <c r="H28" s="50"/>
      <c r="I28" s="49"/>
      <c r="J28" s="49"/>
      <c r="K28" s="50"/>
      <c r="L28" s="50"/>
      <c r="M28" s="50"/>
      <c r="N28" s="50"/>
      <c r="O28" s="50"/>
      <c r="P28" s="50"/>
      <c r="Q28" s="61">
        <v>7</v>
      </c>
      <c r="R28" s="61" t="s">
        <v>536</v>
      </c>
      <c r="S28" s="61" t="s">
        <v>539</v>
      </c>
      <c r="T28" s="61">
        <v>1</v>
      </c>
      <c r="U28" s="61">
        <v>1</v>
      </c>
      <c r="V28" s="61">
        <v>5</v>
      </c>
      <c r="W28" s="61">
        <v>25</v>
      </c>
      <c r="X28" s="61"/>
    </row>
    <row r="29" spans="1:24" s="40" customFormat="1" ht="21">
      <c r="A29" s="51"/>
      <c r="B29" s="51"/>
      <c r="C29" s="51" t="s">
        <v>564</v>
      </c>
      <c r="D29" s="52">
        <f xml:space="preserve"> SUM(D3:D13)</f>
        <v>27</v>
      </c>
      <c r="E29" s="52">
        <f>SUM(E3:E13)</f>
        <v>12</v>
      </c>
      <c r="F29" s="52">
        <v>289</v>
      </c>
      <c r="G29" s="52">
        <v>809</v>
      </c>
      <c r="H29" s="52"/>
      <c r="I29" s="51"/>
      <c r="J29" s="51"/>
      <c r="K29" s="53"/>
      <c r="L29" s="54">
        <f>SUM(L3:L20)</f>
        <v>85</v>
      </c>
      <c r="M29" s="54">
        <f>SUM(M3:M20)</f>
        <v>53</v>
      </c>
      <c r="N29" s="54">
        <v>578</v>
      </c>
      <c r="O29" s="54">
        <v>1143</v>
      </c>
      <c r="P29" s="54"/>
      <c r="Q29" s="53"/>
      <c r="R29" s="53"/>
      <c r="S29" s="53"/>
      <c r="T29" s="55">
        <f>SUM(T3:T28)</f>
        <v>68</v>
      </c>
      <c r="U29" s="55">
        <f>SUM(U3:U28)</f>
        <v>36</v>
      </c>
      <c r="V29" s="55">
        <v>309</v>
      </c>
      <c r="W29" s="55">
        <v>655</v>
      </c>
      <c r="X29" s="55"/>
    </row>
    <row r="30" spans="1:24" ht="15" thickBot="1"/>
    <row r="31" spans="1:24" s="39" customFormat="1" ht="21.6" thickBot="1">
      <c r="C31" s="40" t="s">
        <v>565</v>
      </c>
      <c r="D31" s="42">
        <f>(E29/D29)*100</f>
        <v>44.444444444444443</v>
      </c>
      <c r="F31" s="60"/>
      <c r="L31" s="43">
        <f>(M29/L29)*100</f>
        <v>62.352941176470587</v>
      </c>
      <c r="M31" s="77"/>
      <c r="N31" s="77"/>
      <c r="O31" s="77"/>
      <c r="Q31" s="41"/>
      <c r="R31" s="41"/>
      <c r="T31" s="44">
        <f>(U29/T29)*100</f>
        <v>52.941176470588239</v>
      </c>
    </row>
  </sheetData>
  <mergeCells count="3">
    <mergeCell ref="I1:P1"/>
    <mergeCell ref="A1:H1"/>
    <mergeCell ref="Q1:X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D1D13-7D46-40C6-8616-207B59E64414}">
  <dimension ref="A2:L24"/>
  <sheetViews>
    <sheetView workbookViewId="0">
      <selection activeCell="I19" sqref="I19"/>
    </sheetView>
  </sheetViews>
  <sheetFormatPr defaultColWidth="8.7109375" defaultRowHeight="15"/>
  <cols>
    <col min="1" max="1" width="38.140625" style="62" customWidth="1"/>
    <col min="2" max="3" width="19" style="62" customWidth="1"/>
    <col min="4" max="4" width="14.28515625" style="62" bestFit="1" customWidth="1"/>
    <col min="5" max="6" width="19" style="62" customWidth="1"/>
    <col min="7" max="7" width="8.7109375" style="62"/>
    <col min="8" max="8" width="14" style="62" bestFit="1" customWidth="1"/>
    <col min="9" max="9" width="17.5703125" style="62" bestFit="1" customWidth="1"/>
    <col min="10" max="16384" width="8.7109375" style="62"/>
  </cols>
  <sheetData>
    <row r="2" spans="1:12">
      <c r="B2" s="72" t="s">
        <v>546</v>
      </c>
      <c r="C2" s="73"/>
      <c r="E2" s="72" t="s">
        <v>547</v>
      </c>
      <c r="F2" s="73"/>
      <c r="H2" s="72" t="s">
        <v>548</v>
      </c>
      <c r="I2" s="73"/>
    </row>
    <row r="3" spans="1:12">
      <c r="B3" s="67">
        <v>27</v>
      </c>
      <c r="C3" s="67">
        <v>12</v>
      </c>
      <c r="E3" s="67">
        <v>85</v>
      </c>
      <c r="F3" s="67">
        <v>53</v>
      </c>
      <c r="H3" s="67">
        <v>68</v>
      </c>
      <c r="I3" s="67">
        <v>36</v>
      </c>
    </row>
    <row r="4" spans="1:12" ht="57.75">
      <c r="B4" s="65" t="s">
        <v>551</v>
      </c>
      <c r="C4" s="65" t="s">
        <v>552</v>
      </c>
      <c r="E4" s="65" t="s">
        <v>551</v>
      </c>
      <c r="F4" s="65" t="s">
        <v>552</v>
      </c>
      <c r="H4" s="65" t="s">
        <v>551</v>
      </c>
      <c r="I4" s="65" t="s">
        <v>552</v>
      </c>
    </row>
    <row r="6" spans="1:12" ht="43.5">
      <c r="A6" s="65" t="s">
        <v>566</v>
      </c>
      <c r="B6" s="68">
        <f>SUM(B3+E3+H3)</f>
        <v>180</v>
      </c>
      <c r="C6" s="68"/>
      <c r="D6" s="68"/>
      <c r="E6" s="68"/>
      <c r="F6" s="68"/>
      <c r="G6" s="68"/>
      <c r="H6" s="68"/>
      <c r="I6" s="68"/>
    </row>
    <row r="8" spans="1:12" ht="43.5">
      <c r="A8" s="65" t="s">
        <v>567</v>
      </c>
      <c r="B8" s="68">
        <f>SUM(C3+F3+I3)</f>
        <v>101</v>
      </c>
      <c r="C8" s="68"/>
      <c r="D8" s="68"/>
      <c r="E8" s="68"/>
      <c r="F8" s="68"/>
      <c r="G8" s="68"/>
      <c r="H8" s="68"/>
      <c r="I8" s="68"/>
    </row>
    <row r="10" spans="1:12">
      <c r="A10" s="65" t="s">
        <v>568</v>
      </c>
      <c r="B10" s="69">
        <f>(B8/B6)*100</f>
        <v>56.111111111111114</v>
      </c>
      <c r="C10" s="70"/>
      <c r="D10" s="70"/>
      <c r="E10" s="70"/>
      <c r="F10" s="70"/>
      <c r="G10" s="70"/>
      <c r="H10" s="70"/>
      <c r="I10" s="71"/>
    </row>
    <row r="12" spans="1:12">
      <c r="K12" s="64" t="s">
        <v>569</v>
      </c>
    </row>
    <row r="13" spans="1:12">
      <c r="A13" s="65" t="s">
        <v>570</v>
      </c>
      <c r="B13" s="68">
        <v>289</v>
      </c>
      <c r="C13" s="68"/>
      <c r="E13" s="68">
        <v>578</v>
      </c>
      <c r="F13" s="68"/>
      <c r="H13" s="68">
        <v>309</v>
      </c>
      <c r="I13" s="68"/>
      <c r="K13" s="63">
        <f>B13+E13+H13</f>
        <v>1176</v>
      </c>
    </row>
    <row r="14" spans="1:12">
      <c r="A14" s="65" t="s">
        <v>571</v>
      </c>
      <c r="B14" s="68">
        <v>809</v>
      </c>
      <c r="C14" s="68"/>
      <c r="E14" s="68">
        <v>1143</v>
      </c>
      <c r="F14" s="68"/>
      <c r="H14" s="68">
        <v>655</v>
      </c>
      <c r="I14" s="68"/>
      <c r="K14" s="63">
        <f>B14+E14+H14</f>
        <v>2607</v>
      </c>
    </row>
    <row r="15" spans="1:12">
      <c r="A15" s="65" t="s">
        <v>572</v>
      </c>
      <c r="B15" s="68">
        <v>1098</v>
      </c>
      <c r="C15" s="68"/>
      <c r="E15" s="68">
        <v>1721</v>
      </c>
      <c r="F15" s="68"/>
      <c r="H15" s="68">
        <v>964</v>
      </c>
      <c r="I15" s="68"/>
      <c r="K15" s="63">
        <f>B15+E15+H15</f>
        <v>3783</v>
      </c>
    </row>
    <row r="16" spans="1:12">
      <c r="L16" s="66"/>
    </row>
    <row r="17" spans="1:11">
      <c r="A17"/>
      <c r="B17"/>
      <c r="C17"/>
      <c r="D17"/>
      <c r="E17"/>
      <c r="F17"/>
      <c r="G17"/>
      <c r="H17"/>
      <c r="I17"/>
      <c r="J17"/>
      <c r="K17"/>
    </row>
    <row r="18" spans="1:11">
      <c r="A18"/>
      <c r="B18"/>
      <c r="C18"/>
      <c r="D18"/>
      <c r="E18"/>
      <c r="F18"/>
      <c r="G18"/>
      <c r="H18"/>
      <c r="I18"/>
      <c r="J18"/>
      <c r="K18"/>
    </row>
    <row r="19" spans="1:11">
      <c r="A19"/>
      <c r="B19"/>
      <c r="C19"/>
      <c r="D19"/>
      <c r="E19"/>
      <c r="F19"/>
      <c r="G19"/>
      <c r="H19"/>
      <c r="I19"/>
      <c r="J19"/>
      <c r="K19"/>
    </row>
    <row r="20" spans="1:11">
      <c r="A20"/>
      <c r="B20"/>
      <c r="C20"/>
      <c r="D20"/>
      <c r="E20"/>
      <c r="F20"/>
      <c r="G20"/>
      <c r="H20"/>
      <c r="I20"/>
      <c r="J20"/>
      <c r="K20"/>
    </row>
    <row r="21" spans="1:11">
      <c r="A21"/>
      <c r="B21"/>
      <c r="C21"/>
      <c r="D21"/>
      <c r="E21"/>
      <c r="F21"/>
      <c r="G21"/>
      <c r="H21"/>
      <c r="I21"/>
      <c r="J21"/>
      <c r="K21"/>
    </row>
    <row r="22" spans="1:11">
      <c r="A22"/>
      <c r="B22"/>
      <c r="C22"/>
      <c r="D22"/>
      <c r="E22"/>
      <c r="F22"/>
      <c r="G22"/>
      <c r="H22"/>
      <c r="I22"/>
      <c r="J22"/>
      <c r="K22"/>
    </row>
    <row r="23" spans="1:11">
      <c r="A23"/>
      <c r="B23"/>
      <c r="C23"/>
      <c r="D23"/>
      <c r="E23"/>
      <c r="F23"/>
      <c r="G23"/>
      <c r="H23"/>
      <c r="I23"/>
      <c r="J23"/>
      <c r="K23"/>
    </row>
    <row r="24" spans="1:11">
      <c r="A24"/>
      <c r="B24"/>
      <c r="C24"/>
      <c r="D24"/>
      <c r="E24"/>
      <c r="F24"/>
      <c r="G24"/>
      <c r="H24"/>
      <c r="I24"/>
      <c r="J24"/>
      <c r="K24"/>
    </row>
  </sheetData>
  <mergeCells count="15">
    <mergeCell ref="B2:C2"/>
    <mergeCell ref="E2:F2"/>
    <mergeCell ref="H2:I2"/>
    <mergeCell ref="B13:C13"/>
    <mergeCell ref="B14:C14"/>
    <mergeCell ref="B15:C15"/>
    <mergeCell ref="B6:I6"/>
    <mergeCell ref="B8:I8"/>
    <mergeCell ref="B10:I10"/>
    <mergeCell ref="E13:F13"/>
    <mergeCell ref="E14:F14"/>
    <mergeCell ref="E15:F15"/>
    <mergeCell ref="H13:I13"/>
    <mergeCell ref="H14:I14"/>
    <mergeCell ref="H15:I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08E14-37D5-442C-887E-0E8B996FDD03}">
  <dimension ref="A2:F68"/>
  <sheetViews>
    <sheetView tabSelected="1" topLeftCell="A44" workbookViewId="0">
      <selection activeCell="A54" sqref="A54:F54"/>
    </sheetView>
  </sheetViews>
  <sheetFormatPr defaultRowHeight="15"/>
  <cols>
    <col min="1" max="1" width="28.5703125" customWidth="1"/>
    <col min="2" max="5" width="19" customWidth="1"/>
    <col min="6" max="6" width="34.28515625" customWidth="1"/>
  </cols>
  <sheetData>
    <row r="2" spans="1:6" ht="18.75">
      <c r="A2" s="97" t="s">
        <v>573</v>
      </c>
      <c r="B2" s="97"/>
      <c r="C2" s="97"/>
      <c r="D2" s="97"/>
      <c r="E2" s="97"/>
      <c r="F2" s="97"/>
    </row>
    <row r="3" spans="1:6">
      <c r="A3" s="98" t="s">
        <v>574</v>
      </c>
      <c r="B3" s="98"/>
      <c r="C3" s="98"/>
      <c r="D3" s="98"/>
      <c r="E3" s="98"/>
      <c r="F3" s="98"/>
    </row>
    <row r="5" spans="1:6">
      <c r="A5" s="79"/>
      <c r="B5" s="79" t="s">
        <v>575</v>
      </c>
      <c r="C5" s="79" t="s">
        <v>576</v>
      </c>
      <c r="D5" s="79" t="s">
        <v>577</v>
      </c>
      <c r="E5" s="79" t="s">
        <v>578</v>
      </c>
    </row>
    <row r="6" spans="1:6">
      <c r="A6" s="79" t="s">
        <v>579</v>
      </c>
      <c r="B6" s="81" t="s">
        <v>106</v>
      </c>
      <c r="C6" s="82">
        <v>69</v>
      </c>
      <c r="D6" s="82">
        <v>41</v>
      </c>
      <c r="E6" s="81">
        <v>110</v>
      </c>
    </row>
    <row r="7" spans="1:6">
      <c r="A7" s="79" t="s">
        <v>580</v>
      </c>
      <c r="B7" s="82">
        <v>59</v>
      </c>
      <c r="C7" s="81" t="s">
        <v>106</v>
      </c>
      <c r="D7" s="82">
        <v>5</v>
      </c>
      <c r="E7" s="81">
        <v>64</v>
      </c>
    </row>
    <row r="8" spans="1:6">
      <c r="A8" s="79" t="s">
        <v>581</v>
      </c>
      <c r="B8" s="81">
        <v>0</v>
      </c>
      <c r="C8" s="81">
        <v>0</v>
      </c>
      <c r="D8" s="81" t="s">
        <v>106</v>
      </c>
      <c r="E8" s="81">
        <v>0</v>
      </c>
    </row>
    <row r="9" spans="1:6">
      <c r="A9" s="79" t="s">
        <v>582</v>
      </c>
      <c r="B9" s="79">
        <v>59</v>
      </c>
      <c r="C9" s="79">
        <v>69</v>
      </c>
      <c r="D9" s="79">
        <v>46</v>
      </c>
      <c r="E9" s="79">
        <v>174</v>
      </c>
    </row>
    <row r="11" spans="1:6" ht="18.75">
      <c r="A11" s="78" t="s">
        <v>583</v>
      </c>
      <c r="B11" s="83">
        <v>174</v>
      </c>
    </row>
    <row r="12" spans="1:6" ht="18.75" customHeight="1">
      <c r="A12" s="99" t="s">
        <v>584</v>
      </c>
      <c r="B12" s="100"/>
      <c r="C12" s="100"/>
      <c r="D12" s="100"/>
      <c r="E12" s="100"/>
      <c r="F12" s="100"/>
    </row>
    <row r="13" spans="1:6" ht="18.75">
      <c r="A13" s="93" t="s">
        <v>585</v>
      </c>
      <c r="B13" s="83"/>
    </row>
    <row r="14" spans="1:6" ht="18.75">
      <c r="A14" s="78"/>
      <c r="B14" s="83"/>
    </row>
    <row r="15" spans="1:6">
      <c r="A15" s="95" t="s">
        <v>586</v>
      </c>
      <c r="B15" s="95" t="s">
        <v>587</v>
      </c>
      <c r="C15" s="95" t="s">
        <v>588</v>
      </c>
      <c r="D15" s="95" t="s">
        <v>589</v>
      </c>
      <c r="E15" s="95" t="s">
        <v>590</v>
      </c>
      <c r="F15" s="95" t="s">
        <v>591</v>
      </c>
    </row>
    <row r="16" spans="1:6">
      <c r="A16" s="94" t="s">
        <v>546</v>
      </c>
      <c r="B16" s="96">
        <v>10</v>
      </c>
      <c r="C16" s="96">
        <v>1</v>
      </c>
      <c r="D16" s="96">
        <v>11</v>
      </c>
      <c r="E16" s="96">
        <v>0</v>
      </c>
      <c r="F16" s="96">
        <v>22</v>
      </c>
    </row>
    <row r="17" spans="1:6">
      <c r="A17" s="94" t="s">
        <v>547</v>
      </c>
      <c r="B17" s="96">
        <v>35</v>
      </c>
      <c r="C17" s="96">
        <v>31</v>
      </c>
      <c r="D17" s="96">
        <v>18</v>
      </c>
      <c r="E17" s="96">
        <v>1</v>
      </c>
      <c r="F17" s="96">
        <v>85</v>
      </c>
    </row>
    <row r="18" spans="1:6">
      <c r="A18" s="94" t="s">
        <v>548</v>
      </c>
      <c r="B18" s="96">
        <v>24</v>
      </c>
      <c r="C18" s="96">
        <v>27</v>
      </c>
      <c r="D18" s="96">
        <v>12</v>
      </c>
      <c r="E18" s="96">
        <v>4</v>
      </c>
      <c r="F18" s="96">
        <v>67</v>
      </c>
    </row>
    <row r="19" spans="1:6">
      <c r="A19" s="79" t="s">
        <v>592</v>
      </c>
      <c r="B19" s="79">
        <f>SUM(B16:B18)</f>
        <v>69</v>
      </c>
      <c r="C19" s="79">
        <f>SUM(C16:C18)</f>
        <v>59</v>
      </c>
      <c r="D19" s="79">
        <f>SUM(D16:D18)</f>
        <v>41</v>
      </c>
      <c r="E19" s="79">
        <f>SUM(E16:E18)</f>
        <v>5</v>
      </c>
      <c r="F19" s="79">
        <f>SUM(F16:F18)</f>
        <v>174</v>
      </c>
    </row>
    <row r="20" spans="1:6" ht="18.75">
      <c r="A20" s="101" t="s">
        <v>593</v>
      </c>
      <c r="B20" s="101"/>
      <c r="C20" s="101"/>
      <c r="D20" s="101"/>
      <c r="E20" s="101"/>
      <c r="F20" s="101"/>
    </row>
    <row r="21" spans="1:6">
      <c r="A21" s="98" t="s">
        <v>594</v>
      </c>
      <c r="B21" s="102"/>
      <c r="C21" s="102"/>
      <c r="D21" s="102"/>
      <c r="E21" s="102"/>
      <c r="F21" s="102"/>
    </row>
    <row r="22" spans="1:6">
      <c r="A22" s="84" t="s">
        <v>586</v>
      </c>
      <c r="B22" s="84" t="s">
        <v>587</v>
      </c>
      <c r="C22" s="84" t="s">
        <v>588</v>
      </c>
      <c r="D22" s="84" t="s">
        <v>589</v>
      </c>
      <c r="E22" s="84" t="s">
        <v>590</v>
      </c>
      <c r="F22" s="84" t="s">
        <v>591</v>
      </c>
    </row>
    <row r="23" spans="1:6">
      <c r="A23" s="80" t="s">
        <v>546</v>
      </c>
      <c r="B23" s="81">
        <v>5</v>
      </c>
      <c r="C23" s="81">
        <v>1</v>
      </c>
      <c r="D23" s="81">
        <v>6</v>
      </c>
      <c r="E23" s="81">
        <v>0</v>
      </c>
      <c r="F23" s="81">
        <v>12</v>
      </c>
    </row>
    <row r="24" spans="1:6">
      <c r="A24" s="80" t="s">
        <v>547</v>
      </c>
      <c r="B24" s="81">
        <v>20</v>
      </c>
      <c r="C24" s="81">
        <v>26</v>
      </c>
      <c r="D24" s="81">
        <v>6</v>
      </c>
      <c r="E24" s="81">
        <v>1</v>
      </c>
      <c r="F24" s="81">
        <v>53</v>
      </c>
    </row>
    <row r="25" spans="1:6">
      <c r="A25" s="80" t="s">
        <v>548</v>
      </c>
      <c r="B25" s="81">
        <v>19</v>
      </c>
      <c r="C25" s="81">
        <v>12</v>
      </c>
      <c r="D25" s="81">
        <v>5</v>
      </c>
      <c r="E25" s="81">
        <v>0</v>
      </c>
      <c r="F25" s="81">
        <v>36</v>
      </c>
    </row>
    <row r="26" spans="1:6">
      <c r="A26" s="85" t="s">
        <v>592</v>
      </c>
      <c r="B26" s="86">
        <v>44</v>
      </c>
      <c r="C26" s="86">
        <v>39</v>
      </c>
      <c r="D26" s="86">
        <v>17</v>
      </c>
      <c r="E26" s="86">
        <v>1</v>
      </c>
      <c r="F26" s="86">
        <v>101</v>
      </c>
    </row>
    <row r="27" spans="1:6">
      <c r="A27" s="78" t="s">
        <v>595</v>
      </c>
    </row>
    <row r="28" spans="1:6">
      <c r="A28" s="84"/>
      <c r="B28" s="84" t="s">
        <v>575</v>
      </c>
      <c r="C28" s="84" t="s">
        <v>576</v>
      </c>
      <c r="D28" s="84" t="s">
        <v>577</v>
      </c>
      <c r="E28" s="84" t="s">
        <v>578</v>
      </c>
    </row>
    <row r="29" spans="1:6">
      <c r="A29" s="84" t="s">
        <v>579</v>
      </c>
      <c r="B29" s="81" t="s">
        <v>106</v>
      </c>
      <c r="C29" s="82">
        <v>44</v>
      </c>
      <c r="D29" s="82">
        <v>17</v>
      </c>
      <c r="E29" s="81">
        <v>61</v>
      </c>
    </row>
    <row r="30" spans="1:6">
      <c r="A30" s="84" t="s">
        <v>580</v>
      </c>
      <c r="B30" s="82">
        <v>39</v>
      </c>
      <c r="C30" s="81" t="s">
        <v>106</v>
      </c>
      <c r="D30" s="82">
        <v>1</v>
      </c>
      <c r="E30" s="81">
        <v>40</v>
      </c>
    </row>
    <row r="31" spans="1:6">
      <c r="A31" s="85" t="s">
        <v>582</v>
      </c>
      <c r="B31" s="86">
        <v>39</v>
      </c>
      <c r="C31" s="86">
        <v>44</v>
      </c>
      <c r="D31" s="86">
        <v>18</v>
      </c>
      <c r="E31" s="86">
        <v>101</v>
      </c>
    </row>
    <row r="32" spans="1:6" ht="18.75">
      <c r="A32" s="103" t="s">
        <v>596</v>
      </c>
      <c r="B32" s="103"/>
      <c r="C32" s="103"/>
      <c r="D32" s="103"/>
      <c r="E32" s="103"/>
      <c r="F32" s="103"/>
    </row>
    <row r="33" spans="1:6">
      <c r="A33" s="98" t="s">
        <v>594</v>
      </c>
      <c r="B33" s="102"/>
      <c r="C33" s="102"/>
      <c r="D33" s="102"/>
      <c r="E33" s="102"/>
      <c r="F33" s="102"/>
    </row>
    <row r="34" spans="1:6">
      <c r="A34" s="87" t="s">
        <v>586</v>
      </c>
      <c r="B34" s="87" t="s">
        <v>587</v>
      </c>
      <c r="C34" s="87" t="s">
        <v>588</v>
      </c>
      <c r="D34" s="87" t="s">
        <v>589</v>
      </c>
      <c r="E34" s="87" t="s">
        <v>590</v>
      </c>
      <c r="F34" s="87" t="s">
        <v>591</v>
      </c>
    </row>
    <row r="35" spans="1:6">
      <c r="A35" s="80" t="s">
        <v>546</v>
      </c>
      <c r="B35" s="81">
        <v>5</v>
      </c>
      <c r="C35" s="81">
        <v>0</v>
      </c>
      <c r="D35" s="81">
        <v>5</v>
      </c>
      <c r="E35" s="81">
        <v>5</v>
      </c>
      <c r="F35" s="81">
        <v>15</v>
      </c>
    </row>
    <row r="36" spans="1:6">
      <c r="A36" s="80" t="s">
        <v>547</v>
      </c>
      <c r="B36" s="81">
        <v>15</v>
      </c>
      <c r="C36" s="81">
        <v>5</v>
      </c>
      <c r="D36" s="81">
        <v>12</v>
      </c>
      <c r="E36" s="81">
        <v>0</v>
      </c>
      <c r="F36" s="81">
        <v>32</v>
      </c>
    </row>
    <row r="37" spans="1:6">
      <c r="A37" s="80" t="s">
        <v>548</v>
      </c>
      <c r="B37" s="81">
        <v>5</v>
      </c>
      <c r="C37" s="81">
        <v>15</v>
      </c>
      <c r="D37" s="81">
        <v>7</v>
      </c>
      <c r="E37" s="81">
        <v>5</v>
      </c>
      <c r="F37" s="81">
        <v>32</v>
      </c>
    </row>
    <row r="38" spans="1:6">
      <c r="A38" s="88" t="s">
        <v>592</v>
      </c>
      <c r="B38" s="89">
        <v>25</v>
      </c>
      <c r="C38" s="89">
        <v>20</v>
      </c>
      <c r="D38" s="89">
        <v>24</v>
      </c>
      <c r="E38" s="89">
        <v>10</v>
      </c>
      <c r="F38" s="89">
        <v>79</v>
      </c>
    </row>
    <row r="39" spans="1:6">
      <c r="A39" s="78" t="s">
        <v>595</v>
      </c>
    </row>
    <row r="40" spans="1:6">
      <c r="A40" s="87"/>
      <c r="B40" s="87" t="s">
        <v>575</v>
      </c>
      <c r="C40" s="87" t="s">
        <v>576</v>
      </c>
      <c r="D40" s="87" t="s">
        <v>577</v>
      </c>
      <c r="E40" s="87" t="s">
        <v>578</v>
      </c>
    </row>
    <row r="41" spans="1:6">
      <c r="A41" s="87" t="s">
        <v>579</v>
      </c>
      <c r="B41" s="81" t="s">
        <v>106</v>
      </c>
      <c r="C41" s="82">
        <v>25</v>
      </c>
      <c r="D41" s="82">
        <v>24</v>
      </c>
      <c r="E41" s="81">
        <v>49</v>
      </c>
    </row>
    <row r="42" spans="1:6">
      <c r="A42" s="87" t="s">
        <v>580</v>
      </c>
      <c r="B42" s="82">
        <v>20</v>
      </c>
      <c r="C42" s="81" t="s">
        <v>106</v>
      </c>
      <c r="D42" s="82">
        <v>10</v>
      </c>
      <c r="E42" s="81">
        <v>30</v>
      </c>
    </row>
    <row r="43" spans="1:6">
      <c r="A43" s="88" t="s">
        <v>582</v>
      </c>
      <c r="B43" s="89">
        <v>20</v>
      </c>
      <c r="C43" s="89">
        <v>25</v>
      </c>
      <c r="D43" s="89">
        <v>34</v>
      </c>
      <c r="E43" s="89">
        <v>79</v>
      </c>
    </row>
    <row r="46" spans="1:6" ht="18.75">
      <c r="A46" s="104" t="s">
        <v>597</v>
      </c>
      <c r="B46" s="104"/>
      <c r="C46" s="104"/>
      <c r="D46" s="104"/>
      <c r="E46" s="104"/>
      <c r="F46" s="104"/>
    </row>
    <row r="48" spans="1:6">
      <c r="A48" s="90" t="s">
        <v>598</v>
      </c>
      <c r="B48" s="90" t="s">
        <v>599</v>
      </c>
      <c r="C48" s="90" t="s">
        <v>600</v>
      </c>
      <c r="D48" s="90" t="s">
        <v>601</v>
      </c>
      <c r="E48" s="90" t="s">
        <v>602</v>
      </c>
    </row>
    <row r="49" spans="1:6">
      <c r="A49" s="91" t="s">
        <v>603</v>
      </c>
      <c r="B49" s="81">
        <v>1176</v>
      </c>
      <c r="C49" s="81">
        <v>2607</v>
      </c>
      <c r="D49" s="81" t="s">
        <v>106</v>
      </c>
      <c r="E49" s="80" t="s">
        <v>604</v>
      </c>
    </row>
    <row r="50" spans="1:6">
      <c r="A50" s="91" t="s">
        <v>591</v>
      </c>
      <c r="B50" s="81">
        <v>101</v>
      </c>
      <c r="C50" s="81">
        <v>79</v>
      </c>
      <c r="D50" s="81">
        <v>22</v>
      </c>
      <c r="E50" s="80" t="s">
        <v>605</v>
      </c>
    </row>
    <row r="52" spans="1:6" ht="15.75">
      <c r="A52" s="105" t="s">
        <v>606</v>
      </c>
      <c r="B52" s="106"/>
      <c r="C52" s="106"/>
      <c r="D52" s="106"/>
      <c r="E52" s="106"/>
      <c r="F52" s="107"/>
    </row>
    <row r="53" spans="1:6">
      <c r="A53" s="108" t="s">
        <v>607</v>
      </c>
      <c r="B53" s="109"/>
      <c r="C53" s="109"/>
      <c r="D53" s="109"/>
      <c r="E53" s="109"/>
      <c r="F53" s="110"/>
    </row>
    <row r="54" spans="1:6">
      <c r="A54" s="111" t="s">
        <v>608</v>
      </c>
      <c r="B54" s="109"/>
      <c r="C54" s="109"/>
      <c r="D54" s="109"/>
      <c r="E54" s="109"/>
      <c r="F54" s="110"/>
    </row>
    <row r="55" spans="1:6">
      <c r="A55" s="111" t="s">
        <v>609</v>
      </c>
      <c r="B55" s="109"/>
      <c r="C55" s="109"/>
      <c r="D55" s="109"/>
      <c r="E55" s="109"/>
      <c r="F55" s="110"/>
    </row>
    <row r="56" spans="1:6">
      <c r="A56" s="112" t="s">
        <v>610</v>
      </c>
      <c r="B56" s="113"/>
      <c r="C56" s="113"/>
      <c r="D56" s="113"/>
      <c r="E56" s="113"/>
      <c r="F56" s="114"/>
    </row>
    <row r="59" spans="1:6">
      <c r="A59" s="115" t="s">
        <v>611</v>
      </c>
      <c r="B59" s="115"/>
      <c r="C59" s="116"/>
      <c r="D59" s="116"/>
      <c r="E59" s="116"/>
      <c r="F59" s="116"/>
    </row>
    <row r="60" spans="1:6">
      <c r="A60" s="92" t="s">
        <v>587</v>
      </c>
      <c r="B60" s="80" t="s">
        <v>612</v>
      </c>
    </row>
    <row r="61" spans="1:6">
      <c r="A61" s="92" t="s">
        <v>588</v>
      </c>
      <c r="B61" s="80" t="s">
        <v>613</v>
      </c>
    </row>
    <row r="62" spans="1:6">
      <c r="A62" s="92" t="s">
        <v>589</v>
      </c>
      <c r="B62" s="80" t="s">
        <v>614</v>
      </c>
    </row>
    <row r="63" spans="1:6">
      <c r="A63" s="92" t="s">
        <v>590</v>
      </c>
      <c r="B63" s="80" t="s">
        <v>615</v>
      </c>
    </row>
    <row r="65" spans="1:6">
      <c r="A65" s="62"/>
      <c r="B65" s="62"/>
      <c r="C65" s="62"/>
      <c r="D65" s="62"/>
      <c r="E65" s="62"/>
      <c r="F65" s="62"/>
    </row>
    <row r="66" spans="1:6">
      <c r="A66" s="62"/>
      <c r="B66" s="62"/>
      <c r="C66" s="62"/>
      <c r="D66" s="62"/>
      <c r="E66" s="62"/>
      <c r="F66" s="62"/>
    </row>
    <row r="67" spans="1:6">
      <c r="A67" s="62"/>
      <c r="B67" s="62"/>
      <c r="C67" s="62"/>
      <c r="D67" s="62"/>
      <c r="E67" s="62"/>
      <c r="F67" s="62"/>
    </row>
    <row r="68" spans="1:6">
      <c r="A68" s="62"/>
      <c r="B68" s="62"/>
      <c r="C68" s="62"/>
      <c r="D68" s="62"/>
      <c r="E68" s="62"/>
      <c r="F68" s="62"/>
    </row>
  </sheetData>
  <mergeCells count="14">
    <mergeCell ref="A59:F59"/>
    <mergeCell ref="A12:F12"/>
    <mergeCell ref="A46:F46"/>
    <mergeCell ref="A52:F52"/>
    <mergeCell ref="A53:F53"/>
    <mergeCell ref="A54:F54"/>
    <mergeCell ref="A55:F55"/>
    <mergeCell ref="A56:F56"/>
    <mergeCell ref="A2:F2"/>
    <mergeCell ref="A3:F3"/>
    <mergeCell ref="A20:F20"/>
    <mergeCell ref="A21:F21"/>
    <mergeCell ref="A32:F32"/>
    <mergeCell ref="A33:F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Khadija Aftab</dc:creator>
  <cp:keywords/>
  <dc:description/>
  <cp:lastModifiedBy/>
  <cp:revision/>
  <dcterms:created xsi:type="dcterms:W3CDTF">2025-07-23T00:41:22Z</dcterms:created>
  <dcterms:modified xsi:type="dcterms:W3CDTF">2026-05-04T19:42:12Z</dcterms:modified>
  <cp:category/>
  <cp:contentStatus/>
</cp:coreProperties>
</file>